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ssalari_clemson_edu/Documents/Desktop/SONIA/Research work/Research article writing/Lentil papers/"/>
    </mc:Choice>
  </mc:AlternateContent>
  <xr:revisionPtr revIDLastSave="0" documentId="8_{6EA94581-C9B2-4C4D-B2FC-AE0490F92B92}" xr6:coauthVersionLast="47" xr6:coauthVersionMax="47" xr10:uidLastSave="{00000000-0000-0000-0000-000000000000}"/>
  <bookViews>
    <workbookView xWindow="-108" yWindow="-108" windowWidth="23256" windowHeight="13896" xr2:uid="{DBAF3EF4-D68F-4776-811D-203D715EC0BF}"/>
  </bookViews>
  <sheets>
    <sheet name="SN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70" i="1" l="1"/>
  <c r="F366" i="1"/>
  <c r="F364" i="1"/>
  <c r="F358" i="1"/>
  <c r="F354" i="1"/>
  <c r="F351" i="1"/>
  <c r="F348" i="1"/>
  <c r="F342" i="1"/>
  <c r="F327" i="1"/>
  <c r="F306" i="1"/>
  <c r="F304" i="1"/>
  <c r="F301" i="1"/>
  <c r="F290" i="1"/>
  <c r="F282" i="1"/>
  <c r="F63" i="1"/>
  <c r="F149" i="1"/>
  <c r="F230" i="1"/>
  <c r="F264" i="1"/>
  <c r="F29" i="1"/>
  <c r="F155" i="1"/>
  <c r="F24" i="1"/>
  <c r="F20" i="1"/>
  <c r="F122" i="1"/>
  <c r="F54" i="1"/>
  <c r="F170" i="1"/>
  <c r="F254" i="1"/>
  <c r="F236" i="1"/>
  <c r="F238" i="1"/>
  <c r="F123" i="1"/>
  <c r="F97" i="1"/>
  <c r="F241" i="1"/>
  <c r="F206" i="1"/>
  <c r="F217" i="1"/>
  <c r="F207" i="1"/>
  <c r="F218" i="1"/>
  <c r="F197" i="1"/>
  <c r="F118" i="1"/>
  <c r="F195" i="1"/>
  <c r="F34" i="1"/>
  <c r="F202" i="1"/>
  <c r="F250" i="1"/>
  <c r="F160" i="1"/>
  <c r="F248" i="1"/>
  <c r="F192" i="1"/>
  <c r="F69" i="1"/>
  <c r="F5" i="1"/>
  <c r="F31" i="1"/>
  <c r="F109" i="1"/>
  <c r="F168" i="1"/>
  <c r="F232" i="1"/>
  <c r="F33" i="1"/>
  <c r="F249" i="1"/>
  <c r="F107" i="1"/>
</calcChain>
</file>

<file path=xl/sharedStrings.xml><?xml version="1.0" encoding="utf-8"?>
<sst xmlns="http://schemas.openxmlformats.org/spreadsheetml/2006/main" count="1628" uniqueCount="645">
  <si>
    <t>DTF</t>
  </si>
  <si>
    <t>SLCU.2RBY.CHR1_535617251</t>
  </si>
  <si>
    <t>SLCU.2RBY.CHR4_61428852</t>
  </si>
  <si>
    <t>SLCU.2RBY.CHR5_2507408</t>
  </si>
  <si>
    <t>SLCU.2RBY.CHR5_461255904</t>
  </si>
  <si>
    <t>SLCU.2RBY.CHR5_461256139</t>
  </si>
  <si>
    <t>SLCU.2RBY.CHR6_79230266</t>
  </si>
  <si>
    <t>SLCU.2RBY.CHR6_79230291</t>
  </si>
  <si>
    <t>SLCU.2RBY.CHR6_79230350</t>
  </si>
  <si>
    <t>SLCU.2RBY.CHR6_341734256</t>
  </si>
  <si>
    <t>SLCU.2RBY.CHR1_507046956</t>
  </si>
  <si>
    <t>SLCU.2RBY.CHR1_302247685</t>
  </si>
  <si>
    <t>SLCU.2RBY.CHR3_143539170</t>
  </si>
  <si>
    <t>SLCU.2RBY.CHR5_465919980</t>
  </si>
  <si>
    <t>SLCU.2RBY.CHR5_2499483</t>
  </si>
  <si>
    <t>SLCU.2RBY.CHR6_107229671</t>
  </si>
  <si>
    <t>SLCU.2RBY.CHR3_360840694</t>
  </si>
  <si>
    <t>SLCU.2RBY.CHR4_62868656</t>
  </si>
  <si>
    <t>SLCU.2RBY.CHR5_473623445</t>
  </si>
  <si>
    <t>SLCU.2RBY.CHR6_98417369</t>
  </si>
  <si>
    <t>SLCU.2RBY.CHR1_522855423</t>
  </si>
  <si>
    <t>SLCU.2RBY.CHR3_161452013</t>
  </si>
  <si>
    <t>SLCU.2RBY.CHR5_19267247</t>
  </si>
  <si>
    <t>SLCU.2RBY.CHR7_50754093</t>
  </si>
  <si>
    <t>DTM</t>
  </si>
  <si>
    <t>SLCU.2RBY.CHR3_247592479</t>
  </si>
  <si>
    <t>SLCU.2RBY.CHR4_125680213</t>
  </si>
  <si>
    <t>SLCU.2RBY.CHR7_208756242</t>
  </si>
  <si>
    <t>SLCU.2RBY.CHR7_208942787</t>
  </si>
  <si>
    <t>SLCU.2RBY.CHR7_209184892</t>
  </si>
  <si>
    <t>SLCU.2RBY.CHR7_208808346</t>
  </si>
  <si>
    <t>SLCU.2RBY.CHR7_209257130</t>
  </si>
  <si>
    <t>SLCU.2RBY.CHR7_209257131</t>
  </si>
  <si>
    <t>SLCU.2RBY.CHR7_209193771</t>
  </si>
  <si>
    <t>SLCU.2RBY.CHR7_208919389</t>
  </si>
  <si>
    <t>SLCU.2RBY.CHR1_302223241</t>
  </si>
  <si>
    <t>SLCU.2RBY.CHR1_329150931</t>
  </si>
  <si>
    <t>SLCU.2RBY.CHR3_7945259</t>
  </si>
  <si>
    <t>SLCU.2RBY.CHR3_404933677</t>
  </si>
  <si>
    <t>SLCU.2RBY.CHR4_469395519</t>
  </si>
  <si>
    <t>SLCU.2RBY.CHR5_2410976</t>
  </si>
  <si>
    <t>SLCU.2RBY.CHR5_458882704</t>
  </si>
  <si>
    <t>SLCU.2RBY.CHR5_470522128</t>
  </si>
  <si>
    <t>SLCU.2RBY.CHR6_391472230</t>
  </si>
  <si>
    <t>SLCU.2RBY.CHR6_341672659</t>
  </si>
  <si>
    <t>SLCU.2RBY.CHR7_250388971</t>
  </si>
  <si>
    <t>SLCU.2RBY.CHR7_261975195</t>
  </si>
  <si>
    <t>SLCU.2RBY.CHR1_2818419</t>
  </si>
  <si>
    <t>SLCU.2RBY.CHR1_459322483</t>
  </si>
  <si>
    <t>SLCU.2RBY.CHR3_331758769</t>
  </si>
  <si>
    <t>SLCU.2RBY.CHR4_62940750</t>
  </si>
  <si>
    <t>SLCU.2RBY.CHR4_215984434</t>
  </si>
  <si>
    <t>SLCU.2RBY.CHR4_217576012</t>
  </si>
  <si>
    <t>SLCU.2RBY.CHR6_409581876</t>
  </si>
  <si>
    <t>SLCU.2RBY.CHR7_522012993</t>
  </si>
  <si>
    <t>LPH</t>
  </si>
  <si>
    <t>SLCU.2RBY.CHR7_485389754</t>
  </si>
  <si>
    <t>SLCU.2RBY.CHR1_535639858</t>
  </si>
  <si>
    <t>SLCU.2RBY.CHR3_34265225</t>
  </si>
  <si>
    <t>SLCU.2RBY.CHR3_7080512</t>
  </si>
  <si>
    <t>SLCU.2RBY.CHR3_7912715</t>
  </si>
  <si>
    <t>SLCU.2RBY.CHR3_7910010</t>
  </si>
  <si>
    <t>SLCU.2RBY.CHR3_7819720</t>
  </si>
  <si>
    <t>SLCU.2RBY.CHR3_7517112</t>
  </si>
  <si>
    <t>SLCU.2RBY.CHR3_7185915</t>
  </si>
  <si>
    <t>SLCU.2RBY.CHR6_384344239</t>
  </si>
  <si>
    <t>SLCU.2RBY.CHR1_332154090</t>
  </si>
  <si>
    <t>SLCU.2RBY.CHR3_246125267</t>
  </si>
  <si>
    <t>SLCU.2RBY.CHR4_473954102</t>
  </si>
  <si>
    <t>SLCU.2RBY.CHR4_228682980</t>
  </si>
  <si>
    <t>SLCU.2RBY.CHR4_62369218</t>
  </si>
  <si>
    <t>SLCU.2RBY.CHR4_62884494</t>
  </si>
  <si>
    <t>PH</t>
  </si>
  <si>
    <t>SLCU.2RBY.CHR7_209645439</t>
  </si>
  <si>
    <t>SLCU.2RBY.CHR1_253770239</t>
  </si>
  <si>
    <t>SLCU.2RBY.CHR1_253770253</t>
  </si>
  <si>
    <t>SLCU.2RBY.CHR3_10196845</t>
  </si>
  <si>
    <t>SLCU.2RBY.CHR3_294659177</t>
  </si>
  <si>
    <t>SLCU.2RBY.CHR5_392042858</t>
  </si>
  <si>
    <t>SLCU.2RBY.CHR5_405873489</t>
  </si>
  <si>
    <t>SLCU.2RBY.CHR5_404514814</t>
  </si>
  <si>
    <t>SLCU.2RBY.CHR6_384282402</t>
  </si>
  <si>
    <t>SLCU.2RBY.CHR1_40485990</t>
  </si>
  <si>
    <t>SLCU.2RBY.CHR3_360595056</t>
  </si>
  <si>
    <t>SLCU.2RBY.CHR5_473593183</t>
  </si>
  <si>
    <t>SLCU.2RBY.CHR6_384864041</t>
  </si>
  <si>
    <t>SLCU.2RBY.CHR2_65503426</t>
  </si>
  <si>
    <t>SLCU.2RBY.CHR2_168733960</t>
  </si>
  <si>
    <t>SLCU.2RBY.CHR5_464055741</t>
  </si>
  <si>
    <t>SLCU.2RBY.CHR6_162516996</t>
  </si>
  <si>
    <t>SLCU.2RBY.CHR7_522277111</t>
  </si>
  <si>
    <t>SLCU.2RBY.CHR2_66408601</t>
  </si>
  <si>
    <t>SLCU.2RBY.CHR5_329442200</t>
  </si>
  <si>
    <t>SLCU.2RBY.CHR7_487823462</t>
  </si>
  <si>
    <t>SLCU.2RBY.CHR1_535638468</t>
  </si>
  <si>
    <t>SLCU.2RBY.CHR1_535640295</t>
  </si>
  <si>
    <t>SLCU.2RBY.CHR1_535639574</t>
  </si>
  <si>
    <t>SLCU.2RBY.CHR3_294648383</t>
  </si>
  <si>
    <t>SLCU.2RBY.CHR3_295326429</t>
  </si>
  <si>
    <t>SLCU.2RBY.CHR5_399607559</t>
  </si>
  <si>
    <t>SLCU.2RBY.CHR6_384390876</t>
  </si>
  <si>
    <t>SLCU.2RBY.CHR6_384210714</t>
  </si>
  <si>
    <t>SLCU.2RBY.CHR7_171648698</t>
  </si>
  <si>
    <t>PDg</t>
  </si>
  <si>
    <t>SLCU.2RBY.CHR2_43009282</t>
  </si>
  <si>
    <t>SLCU.2RBY.CHR2_43372343</t>
  </si>
  <si>
    <t>SLCU.2RBY.CHR6_331000192</t>
  </si>
  <si>
    <t>SLCU.2RBY.CHR6_331230089</t>
  </si>
  <si>
    <t>SLCU.2RBY.CHR6_331988826</t>
  </si>
  <si>
    <t>SLCU.2RBY.CHR6_330892446</t>
  </si>
  <si>
    <t>SLCU.2RBY.CHR6_332057686</t>
  </si>
  <si>
    <t>SLCU.2RBY.CHR6_331401398</t>
  </si>
  <si>
    <t>SLCU.2RBY.CHR6_331135562</t>
  </si>
  <si>
    <t>SLCU.2RBY.CHR6_332029124</t>
  </si>
  <si>
    <t>SLCU.2RBY.CHR7_529004889</t>
  </si>
  <si>
    <t>SNP</t>
  </si>
  <si>
    <t>Chromosome </t>
  </si>
  <si>
    <t>    gene start</t>
  </si>
  <si>
    <t>     gene end</t>
  </si>
  <si>
    <t>       gene size (bp)</t>
  </si>
  <si>
    <t>   strand</t>
  </si>
  <si>
    <t>   gene_id</t>
  </si>
  <si>
    <t>gene name</t>
  </si>
  <si>
    <t>    description</t>
  </si>
  <si>
    <t>Trait</t>
  </si>
  <si>
    <t>Env. 1</t>
  </si>
  <si>
    <t>Env. 2</t>
  </si>
  <si>
    <t>Env. 3</t>
  </si>
  <si>
    <t>Env. 4</t>
  </si>
  <si>
    <t>Env. 5</t>
  </si>
  <si>
    <t>Lcu.2RBY.Chr1</t>
  </si>
  <si>
    <t>-</t>
  </si>
  <si>
    <t>Lcu.2RBY.1g035950</t>
  </si>
  <si>
    <t>"(Cysteine-rich receptor-kinase-like protein {ECO:0000313|EMBL:KEH43954.1}) (Uncharacterized protein {ECO:0000313|EnsemblPlants:KEH43954})"</t>
  </si>
  <si>
    <t>Lcu.2RBY.1g035960</t>
  </si>
  <si>
    <t>"(Transcription factor {ECO:0000313|EMBL:AES76671.1}) (Uncharacterized protein {ECO:0000313|EnsemblPlants:AES76671})"</t>
  </si>
  <si>
    <t>Lcu.2RBY.1g029990</t>
  </si>
  <si>
    <t>"(Uncharacterized protein {ECO:0000313|EMBL:KCW70605.1})"</t>
  </si>
  <si>
    <t>+</t>
  </si>
  <si>
    <t>Lcu.2RBY.1g035970</t>
  </si>
  <si>
    <t>"(Cysteine-rich receptor-kinase-like protein {ECO:0000313|EMBL:KEH43951.1}) (Uncharacterized protein {ECO:0000313|EnsemblPlants:KEH43951})"</t>
  </si>
  <si>
    <t>Lcu.2RBY.1g040870</t>
  </si>
  <si>
    <t>"(Dihydrodipicolinate reductase {ECO:0000313|EMBL:AES62556.1}) (Uncharacterized protein {ECO:0000313|EnsemblPlants:AES62556})"</t>
  </si>
  <si>
    <t>Lcu.2RBY.1g040900</t>
  </si>
  <si>
    <t>"(Gag polyprotein-related {ECO:0000313|EMBL:ABD28304.1})"</t>
  </si>
  <si>
    <t>Lcu.2RBY.1g040910</t>
  </si>
  <si>
    <t>"(F-box protein PP2-A13 {ECO:0000313|EMBL:AES62555.1}) (Uncharacterized protein {ECO:0000313|EnsemblPlants:AES62555})"</t>
  </si>
  <si>
    <t>Lcu.2RBY.1g040920</t>
  </si>
  <si>
    <t>"(Ulp1 protease family;  carboxy-terminal domain protein {ECO:0000313|EMBL:KEH15720.1}) (Uncharacterized protein {ECO:0000313|EnsemblPlants:KEH15720}) (Fragment)"</t>
  </si>
  <si>
    <t>Lcu.2RBY.1g062430</t>
  </si>
  <si>
    <t>"hypothetical protein"</t>
  </si>
  <si>
    <t>Lcu.2RBY.1g062440</t>
  </si>
  <si>
    <t>Lcu.2RBY.1g040480</t>
  </si>
  <si>
    <t>"(Gag/pol polyprotein {ECO:0000313|EMBL:AAQ82037.1})"</t>
  </si>
  <si>
    <t>Lcu.2RBY.1g040490</t>
  </si>
  <si>
    <t>"(Ulp1 protease family;  carboxy-terminal domain protein {ECO:0000313|EMBL:KEH29526.1}) (Uncharacterized protein {ECO:0000313|EnsemblPlants:KEH29526})"</t>
  </si>
  <si>
    <t>Lcu.2RBY.1g040500</t>
  </si>
  <si>
    <t>Lcu.2RBY.1g040510</t>
  </si>
  <si>
    <t>"(Uncharacterized protein {ECO:0000313|EMBL:KEH18428.1;  ECO:0000313|EnsemblPlants:KEH18428})"</t>
  </si>
  <si>
    <t>Lcu.2RBY.1g040520</t>
  </si>
  <si>
    <t>Lcu.2RBY.1g040530</t>
  </si>
  <si>
    <t>Lcu.2RBY.1g040540</t>
  </si>
  <si>
    <t>"Peroxidase {ECO:0000256|RuleBase:RU362060;  ECO:0000256|SAAS:SAAS00506982} (1.11.1.7 {ECO:0000256|RuleBase:RU362060;  ECO:0000256|SAAS:SAAS00506982})"</t>
  </si>
  <si>
    <t>Lcu.2RBY.1g040550</t>
  </si>
  <si>
    <t>Lcu.2RBY.1g040560</t>
  </si>
  <si>
    <t>Lcu.2RBY.1g069750</t>
  </si>
  <si>
    <t>"Arginine biosynthesis bifunctional protein ArgJ;  chloroplastic {ECO:0000256|HAMAP-Rule:MF_03124}"</t>
  </si>
  <si>
    <t>Lcu.2RBY.1g069760</t>
  </si>
  <si>
    <t>"(Uncharacterized protein {ECO:0000313|EMBL:KEH42363.1;  ECO:0000313|EnsemblPlants:KEH42363})"</t>
  </si>
  <si>
    <t>Lcu.2RBY.1g076980</t>
  </si>
  <si>
    <t>"Chalcone-flavonone isomerase family protein {ECO:0000256|RuleBase:RU361158}"</t>
  </si>
  <si>
    <t>Lcu.2RBY.1g076990</t>
  </si>
  <si>
    <t>Lcu.2RBY.1g077000</t>
  </si>
  <si>
    <t>Lcu.2RBY.1g073070</t>
  </si>
  <si>
    <t>"(Elongator complex-like protein {ECO:0000313|EMBL:KEH44180.1}) (Uncharacterized protein {ECO:0000313|EnsemblPlants:KEH44180})"</t>
  </si>
  <si>
    <t>Lcu.2RBY.1g073080</t>
  </si>
  <si>
    <t>"(Alpha/beta fold hydrolase {ECO:0000313|EMBL:KEH44183.1}) (Uncharacterized protein {ECO:0000313|EnsemblPlants:KEH44183})"</t>
  </si>
  <si>
    <t>Lcu.2RBY.Chr7</t>
  </si>
  <si>
    <t>Lcu.2RBY.7g074820</t>
  </si>
  <si>
    <t>"(Hydroxyproline-rich glycoprotein family protein {ECO:0000313|EMBL:AES92285.1}) (Uncharacterized protein {ECO:0000313|EMBL:AFK43782.1;  ECO:0000313|EnsemblPlants:AES92285})"</t>
  </si>
  <si>
    <t>Lcu.2RBY.1g008250</t>
  </si>
  <si>
    <t>"(Gag/pol polyprotein {ECO:0000313|EMBL:AAQ82033.1}) (Fragment)"</t>
  </si>
  <si>
    <t>Lcu.2RBY.1g008260</t>
  </si>
  <si>
    <t>Lcu.2RBY.1g008270</t>
  </si>
  <si>
    <t>Lcu.2RBY.1g008280</t>
  </si>
  <si>
    <t>"(Uncharacterized protein {ECO:0000313|EMBL:AFK41815.1})"</t>
  </si>
  <si>
    <t>Lcu.2RBY.1g008290</t>
  </si>
  <si>
    <t>"(Ulp1 protease family;  carboxy-terminal domain protein {ECO:0000313|EMBL:AES66041.1}) (Uncharacterized protein {ECO:0000313|EnsemblPlants:AES66041})"</t>
  </si>
  <si>
    <t>Lcu.2RBY.1g008300</t>
  </si>
  <si>
    <t>Lcu.2RBY.1g008310</t>
  </si>
  <si>
    <t>"(Uncharacterized protein {ECO:0000313|EMBL:BAT95929.1})"</t>
  </si>
  <si>
    <t>Lcu.2RBY.1g008320</t>
  </si>
  <si>
    <t>"(Integrase;  catalytic region Ribonuclease H {ECO:0000313|EMBL:ABD28291.1})"</t>
  </si>
  <si>
    <t>Lcu.2RBY.1g002110</t>
  </si>
  <si>
    <t>"(Alpha/beta fold hydrolase {ECO:0000313|EMBL:AES58749.1}) (Uncharacterized protein {ECO:0000313|EnsemblPlants:AES58749})"</t>
  </si>
  <si>
    <t>Lcu.2RBY.1g002120</t>
  </si>
  <si>
    <t>"(Oep23 protein {ECO:0000313|EMBL:AIO04121.1})"</t>
  </si>
  <si>
    <t>Lcu.2RBY.1g002130</t>
  </si>
  <si>
    <t>"(Transmembrane protein;  putative {ECO:0000313|EMBL:AES58745.1}) (Uncharacterized protein {ECO:0000313|EnsemblPlants:AES58745})"</t>
  </si>
  <si>
    <t>Lcu.2RBY.1g002140</t>
  </si>
  <si>
    <t>"(Calcium-binding EF-hand protein {ECO:0000313|EMBL:AES58744.2}) (Uncharacterized protein {ECO:0000313|EnsemblPlants:AES58744})"</t>
  </si>
  <si>
    <t>Lcu.2RBY.1g002150</t>
  </si>
  <si>
    <t>"(Glycoside hydrolase family 17 protein {ECO:0000313|EMBL:AES58743.1}) (Uncharacterized protein {ECO:0000313|EnsemblPlants:AES58743})"</t>
  </si>
  <si>
    <t>Lcu.2RBY.1g002160</t>
  </si>
  <si>
    <t>Lcu.2RBY.1g002170</t>
  </si>
  <si>
    <t>Lcu.2RBY.Chr3</t>
  </si>
  <si>
    <t>Lcu.2RBY.3g002650</t>
  </si>
  <si>
    <t>Lcu.2RBY.3g002660</t>
  </si>
  <si>
    <t>Lcu.2RBY.3g002670</t>
  </si>
  <si>
    <t>"(Uncharacterized protein {ECO:0000313|EMBL:KEH33891.1;  ECO:0000313|EnsemblPlants:KEH33891})"</t>
  </si>
  <si>
    <t>Lcu.2RBY.3g002680</t>
  </si>
  <si>
    <t>"(Gag-pro {ECO:0000313|EMBL:ACX37123.1})"</t>
  </si>
  <si>
    <t>Lcu.2RBY.3g002390</t>
  </si>
  <si>
    <t>"(Phenylcoumaran benzylic ether reductase-like protein {ECO:0000313|EMBL:AES68428.1}) (Uncharacterized protein {ECO:0000313|EnsemblPlants:AES68428})"</t>
  </si>
  <si>
    <t>Lcu.2RBY.3g002400</t>
  </si>
  <si>
    <t>"(Uncharacterized protein {ECO:0000313|EMBL:AES69921.1;  ECO:0000313|EnsemblPlants:AES69921})"</t>
  </si>
  <si>
    <t>Lcu.2RBY.3g002410</t>
  </si>
  <si>
    <t>"(Uncharacterized protein {ECO:0000313|EMBL:EOX94372.1})"</t>
  </si>
  <si>
    <t>Lcu.2RBY.3g002420</t>
  </si>
  <si>
    <t>"(Uncharacterized protein {ECO:0000313|EMBL:KOM25958.1})"</t>
  </si>
  <si>
    <t>Lcu.2RBY.3g021770</t>
  </si>
  <si>
    <t>"(RNA-directed DNA polymerase (Reverse transcriptase) Ribonuclease H {ECO:0000313|EMBL:ABN06136.1})"</t>
  </si>
  <si>
    <t>Lcu.2RBY.3g021780</t>
  </si>
  <si>
    <t>"(Plant OB fold protein {ECO:0000313|EMBL:AES70473.1}) (Uncharacterized protein {ECO:0000313|EnsemblPlants:AES70473})"</t>
  </si>
  <si>
    <t>Lcu.2RBY.3g021790</t>
  </si>
  <si>
    <t>"(Replication factor-A carboxy-terminal domain protein {ECO:0000313|EMBL:KEH26533.1}) (Uncharacterized protein {ECO:0000313|EnsemblPlants:KEH26533})"</t>
  </si>
  <si>
    <t>Lcu.2RBY.3g005910</t>
  </si>
  <si>
    <t>"(Anthranilate N-benzoyltransferase {ECO:0000313|EMBL:KEH31452.1}) (Uncharacterized protein {ECO:0000313|EnsemblPlants:KEH31452})"</t>
  </si>
  <si>
    <t>No genes</t>
  </si>
  <si>
    <t>Lcu.2RBY.Chr2</t>
  </si>
  <si>
    <t>Lcu.2RBY.2g018770</t>
  </si>
  <si>
    <t>Lcu.2RBY.2g018780</t>
  </si>
  <si>
    <t>"(Triose-phosphate transporter family protein {ECO:0000313|EMBL:KEH37326.1}) (Uncharacterized protein {ECO:0000313|EnsemblPlants:KEH37326})"</t>
  </si>
  <si>
    <t>Lcu.2RBY.2g018960</t>
  </si>
  <si>
    <t>"(Uncharacterized protein {ECO:0000313|EMBL:KJB65800.1}) (Fragment)"</t>
  </si>
  <si>
    <t>Lcu.2RBY.2g032210</t>
  </si>
  <si>
    <t>Lcu.2RBY.2g032220</t>
  </si>
  <si>
    <t>Lcu.2RBY.2g032230</t>
  </si>
  <si>
    <t>"(Uncharacterized protein {ECO:0000313|EMBL:KRH38928.1;  ECO:0000313|EnsemblPlants:GLYMA09G29760.2})"</t>
  </si>
  <si>
    <t>Lcu.2RBY.3g001970</t>
  </si>
  <si>
    <t>Lcu.2RBY.3g001980</t>
  </si>
  <si>
    <t>Lcu.2RBY.3g001990</t>
  </si>
  <si>
    <t>Lcu.2RBY.3g002000</t>
  </si>
  <si>
    <t>Lcu.2RBY.3g002010</t>
  </si>
  <si>
    <t>Lcu.2RBY.3g002020</t>
  </si>
  <si>
    <t>"(DUF1645 family protein {ECO:0000313|EMBL:KEH20015.1}) (Uncharacterized protein {ECO:0000313|EnsemblPlants:KEH20015})"</t>
  </si>
  <si>
    <t>Lcu.2RBY.3g002030</t>
  </si>
  <si>
    <t>Lcu.2RBY.3g002040</t>
  </si>
  <si>
    <t>Lcu.2RBY.3g002050</t>
  </si>
  <si>
    <t>Lcu.2RBY.3g002060</t>
  </si>
  <si>
    <t>Lcu.2RBY.3g002070</t>
  </si>
  <si>
    <t>Lcu.2RBY.3g002080</t>
  </si>
  <si>
    <t>Lcu.2RBY.3g002090</t>
  </si>
  <si>
    <t>Lcu.2RBY.3g002100</t>
  </si>
  <si>
    <t>Lcu.2RBY.3g002110</t>
  </si>
  <si>
    <t>Lcu.2RBY.3g002120</t>
  </si>
  <si>
    <t>Lcu.2RBY.3g002130</t>
  </si>
  <si>
    <t>Lcu.2RBY.3g002330</t>
  </si>
  <si>
    <t>Lcu.2RBY.3g002340</t>
  </si>
  <si>
    <t>Lcu.2RBY.3g002350</t>
  </si>
  <si>
    <t>Lcu.2RBY.3g002360</t>
  </si>
  <si>
    <t>Lcu.2RBY.3g002370</t>
  </si>
  <si>
    <t>Lcu.2RBY.3g002380</t>
  </si>
  <si>
    <t>Lcu.2RBY.3g002280</t>
  </si>
  <si>
    <t>"(Dehydration-responsive RD22-like protein {ECO:0000313|EMBL:AES74144.2}) (Uncharacterized protein {ECO:0000313|EnsemblPlants:AES74144})"</t>
  </si>
  <si>
    <t>Lcu.2RBY.Chr4</t>
  </si>
  <si>
    <t>Lcu.2RBY.4g012620</t>
  </si>
  <si>
    <t>Lcu.2RBY.4g020280</t>
  </si>
  <si>
    <t>"(Ubiquitin carboxyl-terminal hydrolase 12 {ECO:0000313|EMBL:KHN00014.1})"</t>
  </si>
  <si>
    <t>Lcu.2RBY.4g077930</t>
  </si>
  <si>
    <t>Lcu.2RBY.4g077940</t>
  </si>
  <si>
    <t>Lcu.2RBY.4g079490</t>
  </si>
  <si>
    <t>"NADPH:adrenodoxin oxidoreductase;  mitochondrial {ECO:0000256|PIRNR:PIRNR000362} (1.18.1.6 {ECO:0000256|PIRNR:PIRNR000362})"</t>
  </si>
  <si>
    <t>Lcu.2RBY.3g035920</t>
  </si>
  <si>
    <t>"(Uncharacterized protein {ECO:0000313|EMBL:KEH44267.1;  ECO:0000313|EnsemblPlants:KEH44267})"</t>
  </si>
  <si>
    <t>Lcu.2RBY.3g035930</t>
  </si>
  <si>
    <t>"(Uncharacterized protein {ECO:0000313|EnsemblPlants:AES71290}) (WEB family plant protein {ECO:0000313|EMBL:AES71290.1})"</t>
  </si>
  <si>
    <t>Lcu.2RBY.3g046270</t>
  </si>
  <si>
    <t>"(No-apical-meristem-associated carboxy-terminal domain protein {ECO:0000313|EMBL:KEH15532.1}) (Uncharacterized protein {ECO:0000313|EnsemblPlants:KEH15532})"</t>
  </si>
  <si>
    <t>Lcu.2RBY.3g046280</t>
  </si>
  <si>
    <t>"(Flavonoid O-methyltransferase-like protein {ECO:0000313|EMBL:AES71869.1}) (Uncharacterized protein {ECO:0000313|EnsemblPlants:AES71869})"</t>
  </si>
  <si>
    <t>Lcu.2RBY.3g046290</t>
  </si>
  <si>
    <t>"Histone H4 {ECO:0000256|RuleBase:RU000528} (Fragment)"</t>
  </si>
  <si>
    <t>Lcu.2RBY.3g046300</t>
  </si>
  <si>
    <t>Lcu.2RBY.3g046310</t>
  </si>
  <si>
    <t>"(ABC transporter-like family-protein {ECO:0000313|EMBL:KEH18319.1}) (Uncharacterized protein {ECO:0000313|EnsemblPlants:KEH18319})"</t>
  </si>
  <si>
    <t>Lcu.2RBY.3g046320</t>
  </si>
  <si>
    <t>LcPSY3</t>
  </si>
  <si>
    <t>"Phytoene synthase"</t>
  </si>
  <si>
    <t>Lcu.2RBY.3g046330</t>
  </si>
  <si>
    <t>"(PPR containing plant-like protein {ECO:0000313|EMBL:AES71875.1}) (Uncharacterized protein {ECO:0000313|EnsemblPlants:AES71875})"</t>
  </si>
  <si>
    <t>Lcu.2RBY.3g053410</t>
  </si>
  <si>
    <t>"(RWP-RK domain protein {ECO:0000313|EMBL:AES72521.1}) (Uncharacterized protein {ECO:0000313|EnsemblPlants:AES72521})"</t>
  </si>
  <si>
    <t>Lcu.2RBY.3g053420</t>
  </si>
  <si>
    <t>"(ABIL1-like protein {ECO:0000313|EMBL:AES72527.1}) (Uncharacterized protein {ECO:0000313|EnsemblPlants:AES72527})"</t>
  </si>
  <si>
    <t>Lcu.2RBY.3g053430</t>
  </si>
  <si>
    <t>Lcu.2RBY.3g053440</t>
  </si>
  <si>
    <t>"(Transmembrane protein;  putative {ECO:0000313|EMBL:AES72528.1}) (Uncharacterized protein {ECO:0000313|EnsemblPlants:AES72528})"</t>
  </si>
  <si>
    <t>Lcu.2RBY.3g053450</t>
  </si>
  <si>
    <t>"(Kinesin light chain-like protein;  putative {ECO:0000313|EMBL:AES72530.2}) (Uncharacterized protein {ECO:0000313|EnsemblPlants:AES72530})"</t>
  </si>
  <si>
    <t>Lcu.2RBY.3g053460</t>
  </si>
  <si>
    <t>"(Uncharacterized protein {ECO:0000313|EMBL:KRH53532.1;  ECO:0000313|EnsemblPlants:GLYMA06G13580.3})"</t>
  </si>
  <si>
    <t>Lcu.2RBY.3g046450</t>
  </si>
  <si>
    <t>"(Transmembrane protein;  putative {ECO:0000313|EMBL:KEH34639.1}) (Uncharacterized protein {ECO:0000313|EnsemblPlants:KEH34639})"</t>
  </si>
  <si>
    <t>Lcu.2RBY.3g059450</t>
  </si>
  <si>
    <t>Lcu.2RBY.3g059420</t>
  </si>
  <si>
    <t>"(SAUR-like auxin-responsive family protein {ECO:0000313|EMBL:AES73035.1}) (Uncharacterized protein {ECO:0000313|EnsemblPlants:AES73035})"</t>
  </si>
  <si>
    <t>Lcu.2RBY.3g059430</t>
  </si>
  <si>
    <t>"Thymidine kinase {ECO:0000256|RuleBase:RU000544} (2.7.1.21 {ECO:0000256|RuleBase:RU000544})"</t>
  </si>
  <si>
    <t>Lcu.2RBY.3g059440</t>
  </si>
  <si>
    <t>"(Omega-hydroxypalmitate O-feruloyl transferase {ECO:0000313|EMBL:AES73036.1}) (Uncharacterized protein {ECO:0000313|EnsemblPlants:AES73036})"</t>
  </si>
  <si>
    <t>Lcu.2RBY.3g068850</t>
  </si>
  <si>
    <t>Lcu.2RBY.Chr6</t>
  </si>
  <si>
    <t>Lcu.2RBY.6g010830</t>
  </si>
  <si>
    <t>"(DCD (Development and cell death) domain protein {ECO:0000313|EMBL:KEH22023.1}) (Uncharacterized protein {ECO:0000313|EMBL:AFK44066.1;  ECO:0000313|EnsemblPlants:KEH22023})"</t>
  </si>
  <si>
    <t>Lcu.2RBY.6g010840</t>
  </si>
  <si>
    <t>"(RNA-directed DNA polymerase (Reverse transcriptase) Zinc finger;  CCHC-type Peptidase aspartic;  active site Retrotransposon gag protein {ECO:0000313|EMBL:ABD28293.1})"</t>
  </si>
  <si>
    <t>Lcu.2RBY.6g010850</t>
  </si>
  <si>
    <t>"(Uncharacterized protein {ECO:0000313|EnsemblPlants:AES71712}) (WNK kinase {ECO:0000313|EMBL:AES71712.1})"</t>
  </si>
  <si>
    <t>Lcu.2RBY.6g010860</t>
  </si>
  <si>
    <t>"(Sugar porter (SP) family MFS transporter {ECO:0000313|EMBL:KEH28798.1}) (Uncharacterized protein {ECO:0000313|EnsemblPlants:KEH28798})"</t>
  </si>
  <si>
    <t>Lcu.2RBY.6g013290</t>
  </si>
  <si>
    <t>Lcu.2RBY.6g013300</t>
  </si>
  <si>
    <t>"(Disease resistance protein (CC-NBS-LRR class) family protein {ECO:0000313|EMBL:AES94777.1}) (Uncharacterized protein {ECO:0000313|EnsemblPlants:AES94777})"</t>
  </si>
  <si>
    <t>Lcu.2RBY.6g013310</t>
  </si>
  <si>
    <t>Lcu.2RBY.6g013320</t>
  </si>
  <si>
    <t>"(Plant broad-spectrum mildew resistance protein RPW8 {ECO:0000313|EMBL:AES94836.1}) (Uncharacterized protein {ECO:0000313|EnsemblPlants:AES94836})"</t>
  </si>
  <si>
    <t>Lcu.2RBY.6g013330</t>
  </si>
  <si>
    <t>"(Global transcription factor group protein {ECO:0000313|EMBL:KEH17395.1}) (Uncharacterized protein {ECO:0000313|EnsemblPlants:KEH17395})"</t>
  </si>
  <si>
    <t>Lcu.2RBY.6g050250</t>
  </si>
  <si>
    <t>"(Uncharacterized protein {ECO:0000313|EMBL:KEH29880.1;  ECO:0000313|EnsemblPlants:KEH29880})"</t>
  </si>
  <si>
    <t>Lcu.2RBY.6g059540</t>
  </si>
  <si>
    <t>"(Translation elongation factor EF protein {ECO:0000313|EMBL:KEH22351.1}) (Uncharacterized protein {ECO:0000313|EnsemblPlants:KEH22351})"</t>
  </si>
  <si>
    <t>Lcu.2RBY.6g059550</t>
  </si>
  <si>
    <t>"(Sulfite exporter TauE/SafE family protein {ECO:0000313|EMBL:KEH24085.1}) (Uncharacterized protein {ECO:0000313|EnsemblPlants:KEH24085})"</t>
  </si>
  <si>
    <t>Lcu.2RBY.6g059570</t>
  </si>
  <si>
    <t>"(Uncharacterized protein {ECO:0000313|EMBL:EEE97042.1})"</t>
  </si>
  <si>
    <t>Lcu.2RBY.6g059580</t>
  </si>
  <si>
    <t>"(Homeobox leucine zipper protein {ECO:0000313|EMBL:KEH24094.1}) (Uncharacterized protein {ECO:0000313|EnsemblPlants:KEH24094})"</t>
  </si>
  <si>
    <t>Lcu.2RBY.6g059590</t>
  </si>
  <si>
    <t>"(Inosine-uridine preferring nucleoside hydrolase {ECO:0000313|EMBL:KEH40954.1}) (Uncharacterized protein {ECO:0000313|EnsemblPlants:KEH40954})"</t>
  </si>
  <si>
    <t>Lcu.2RBY.6g059600</t>
  </si>
  <si>
    <t>Lcu.2RBY.6g061230</t>
  </si>
  <si>
    <t>"(NAC transcription factor-like protein {ECO:0000313|EMBL:KEH24150.1}) (Uncharacterized protein {ECO:0000313|EnsemblPlants:KEH24150})"</t>
  </si>
  <si>
    <t>Lcu.2RBY.6g061240</t>
  </si>
  <si>
    <t>"(Uncharacterized protein {ECO:0000313|EMBL:AFK46002.1})"</t>
  </si>
  <si>
    <t>Lcu.2RBY.6g061250</t>
  </si>
  <si>
    <t>"Peptidyl-prolyl cis-trans isomerase {ECO:0000256|RuleBase:RU363019} (PPIase {ECO:0000256|RuleBase:RU363019}) (5.2.1.8 {ECO:0000256|RuleBase:RU363019})"</t>
  </si>
  <si>
    <t>Lcu.2RBY.6g061260</t>
  </si>
  <si>
    <t>"(Fission ELM1 protein {ECO:0000313|EMBL:KEH24155.1}) (Uncharacterized protein {ECO:0000313|EnsemblPlants:KEH24155})"</t>
  </si>
  <si>
    <t>Lcu.2RBY.6g061270</t>
  </si>
  <si>
    <t>"Probable protein disulfide-isomerase A6 (5.3.4.1) (P5) (Precursor)"</t>
  </si>
  <si>
    <t>Lcu.2RBY.6g061280</t>
  </si>
  <si>
    <t>"(Uncharacterized protein {ECO:0000313|EnsemblPlants:KEH24156}) (mRNA-decapping enzyme-like protein {ECO:0000313|EMBL:KEH24156.1})"</t>
  </si>
  <si>
    <t>Lcu.2RBY.6g059650</t>
  </si>
  <si>
    <t>Lcu.2RBY.6g059660</t>
  </si>
  <si>
    <t>"(Tendril-less {ECO:0000313|EMBL:ACI42914.1})"</t>
  </si>
  <si>
    <t>Lcu.2RBY.6g066540</t>
  </si>
  <si>
    <t>"Hexosyltransferase {ECO:0000256|RuleBase:RU362027} (2.4.1.- {ECO:0000256|RuleBase:RU362027})"</t>
  </si>
  <si>
    <t>Lcu.2RBY.6g066550</t>
  </si>
  <si>
    <t>"(Stem-loop-binding protein of 41 kDa protein B {ECO:0000313|EMBL:KEH24465.1}) (Uncharacterized protein {ECO:0000313|EMBL:AFK36692.1;  ECO:0000313|EnsemblPlants:KEH24465})"</t>
  </si>
  <si>
    <t>Lcu.2RBY.6g066560</t>
  </si>
  <si>
    <t>"(Clathrin adaptor complexes medium subunit family protein {ECO:0000313|EMBL:KEH24466.1}) (Uncharacterized protein {ECO:0000313|EnsemblPlants:KEH24466})"</t>
  </si>
  <si>
    <t>Lcu.2RBY.6g066570</t>
  </si>
  <si>
    <t>"(Photosystem II reaction center PsbP family protein {ECO:0000313|EMBL:KEH24468.1}) (Uncharacterized protein {ECO:0000313|EnsemblPlants:KEH24468})"</t>
  </si>
  <si>
    <t>Lcu.2RBY.6g066580</t>
  </si>
  <si>
    <t>"(Uncharacterized protein {ECO:0000313|EMBL:KRH68426.1;  ECO:0000313|EnsemblPlants:GLYMA03G38970.2})"</t>
  </si>
  <si>
    <t>Lcu.2RBY.Chr5</t>
  </si>
  <si>
    <t>Lcu.2RBY.5g002040</t>
  </si>
  <si>
    <t>"(Light-mediated development protein DET1 {ECO:0000313|EMBL:AES93896.2}) (Uncharacterized protein {ECO:0000313|EnsemblPlants:AES93896})"</t>
  </si>
  <si>
    <t>Lcu.2RBY.5g002050</t>
  </si>
  <si>
    <t>"(Rieske (2Fe-2S) domain protein {ECO:0000313|EMBL:AES93900.1}) (Uncharacterized protein {ECO:0000313|EnsemblPlants:AES93900})"</t>
  </si>
  <si>
    <t>Lcu.2RBY.5g002060</t>
  </si>
  <si>
    <t>"Histone H4 {ECO:0000256|RuleBase:RU000528}"</t>
  </si>
  <si>
    <t>Lcu.2RBY.5g002070</t>
  </si>
  <si>
    <t>"(AP2 domain class transcription factor {ECO:0000313|EMBL:AES93903.1}) (Uncharacterized protein {ECO:0000313|EnsemblPlants:AES93903})"</t>
  </si>
  <si>
    <t>Lcu.2RBY.5g002080</t>
  </si>
  <si>
    <t>"(Long-chain acyl-CoA synthetase {ECO:0000313|EMBL:AES93904.1}) (Uncharacterized protein {ECO:0000313|EnsemblPlants:AES93904})"</t>
  </si>
  <si>
    <t>Lcu.2RBY.5g002090</t>
  </si>
  <si>
    <t>"(Subtilisin-like serine protease {ECO:0000313|EMBL:AES80027.1}) (Uncharacterized protein {ECO:0000313|EnsemblPlants:AES80027})"</t>
  </si>
  <si>
    <t>Lcu.2RBY.5g002100</t>
  </si>
  <si>
    <t>"(Pentatricopeptide (PPR) repeat protein {ECO:0000313|EMBL:AES93908.1}) (Uncharacterized protein {ECO:0000313|EnsemblPlants:AES93908})"</t>
  </si>
  <si>
    <t>Lcu.2RBY.5g002110</t>
  </si>
  <si>
    <t>"(PPR containing plant-like protein {ECO:0000313|EMBL:KEH41534.1}) (Uncharacterized protein {ECO:0000313|EnsemblPlants:KEH41534})"</t>
  </si>
  <si>
    <t>Lcu.2RBY.5g002120</t>
  </si>
  <si>
    <t>"(HXXXD-type acyl-transferase family protein {ECO:0000313|EMBL:AES58951.1}) (Uncharacterized protein {ECO:0000313|EnsemblPlants:AES58951})"</t>
  </si>
  <si>
    <t>Lcu.2RBY.5g002130</t>
  </si>
  <si>
    <t>Lcu.2RBY.5g002140</t>
  </si>
  <si>
    <t>"50S ribosomal protein L24;  chloroplastic (CL24) (Precursor)"</t>
  </si>
  <si>
    <t>Lcu.2RBY.5g002150</t>
  </si>
  <si>
    <t>Lcu.2RBY.5g002160</t>
  </si>
  <si>
    <t>"(Cyclin-dependent kinase {ECO:0000313|EMBL:AES93910.1}) (Uncharacterized protein {ECO:0000313|EnsemblPlants:AES93910})"</t>
  </si>
  <si>
    <t>Lcu.2RBY.5g002180</t>
  </si>
  <si>
    <t>"(Uncharacterized protein {ECO:0000313|EnsemblPlants:AES93914}) (Zinc finger CCCH domain protein {ECO:0000313|EMBL:AES93914.1})"</t>
  </si>
  <si>
    <t>Lcu.2RBY.5g002190</t>
  </si>
  <si>
    <t>"(THUMP domain protein {ECO:0000313|EMBL:AES93924.1}) (Uncharacterized protein {ECO:0000313|EnsemblPlants:AES93924})"</t>
  </si>
  <si>
    <t>Lcu.2RBY.5g002200</t>
  </si>
  <si>
    <t>"Hexokinase {ECO:0000256|RuleBase:RU362007} (2.7.1.1 {ECO:0000256|RuleBase:RU362007})"</t>
  </si>
  <si>
    <t>Lcu.2RBY.5g002210</t>
  </si>
  <si>
    <t>"(Ubiquitin-conjugating enzyme {ECO:0000313|EMBL:AES93925.1}) (Uncharacterized protein {ECO:0000313|EnsemblPlants:AES93925})"</t>
  </si>
  <si>
    <t>Lcu.2RBY.5g002220</t>
  </si>
  <si>
    <t>"Magnesium-chelatase subunit ChlD;  chloroplastic (Mg-chelatase subunit D) (6.6.1.1) (Mg-protoporphyrin IX chelatase subunit ChlD) (Precursor)"</t>
  </si>
  <si>
    <t>Lcu.2RBY.5g002230</t>
  </si>
  <si>
    <t>"(GRAS family transcription factor {ECO:0000313|EMBL:AES93930.1}) (Uncharacterized protein {ECO:0000313|EnsemblPlants:AES93930})"</t>
  </si>
  <si>
    <t>Lcu.2RBY.5g002240</t>
  </si>
  <si>
    <t>"(GDSL-like lipase/acylhydrolase {ECO:0000313|EMBL:AES93931.2}) (Uncharacterized protein {ECO:0000313|EnsemblPlants:AES93931})"</t>
  </si>
  <si>
    <t>Lcu.2RBY.5g002170</t>
  </si>
  <si>
    <t>"(Uncharacterized protein {ECO:0000313|EMBL:ESW28985.1})"</t>
  </si>
  <si>
    <t>Lcu.2RBY.5g009780</t>
  </si>
  <si>
    <t>"(UPF0183 plant-like protein {ECO:0000313|EMBL:AES95078.1}) (Uncharacterized protein {ECO:0000313|EnsemblPlants:AES95078})"</t>
  </si>
  <si>
    <t>Lcu.2RBY.5g009790</t>
  </si>
  <si>
    <t>"(Serine carboxypeptidase S28 family protein {ECO:0000313|EMBL:AES95080.1}) (Uncharacterized protein {ECO:0000313|EnsemblPlants:AES95080})"</t>
  </si>
  <si>
    <t>Lcu.2RBY.5g009800</t>
  </si>
  <si>
    <t>"(Uncharacterized protein {ECO:0000313|EnsemblPlants:AET00839}) (Zinc finger C-x8-C-x5-C-x3-H type protein {ECO:0000313|EMBL:AET00839.2})"</t>
  </si>
  <si>
    <t>Lcu.2RBY.5g009810</t>
  </si>
  <si>
    <t>"(GRF zinc finger protein {ECO:0000313|EMBL:AES76462.1}) (Uncharacterized protein {ECO:0000313|EnsemblPlants:AES76462})"</t>
  </si>
  <si>
    <t>Lcu.2RBY.5g009820</t>
  </si>
  <si>
    <t>"(Salt tolerance-like protein {ECO:0000313|EMBL:AES95086.1}) (Uncharacterized protein {ECO:0000313|EnsemblPlants:AES95086})"</t>
  </si>
  <si>
    <t>Lcu.2RBY.5g009830</t>
  </si>
  <si>
    <t>"(Lactoylglutathione lyase/glyoxalase I family protein {ECO:0000313|EMBL:AES95089.2}) (Uncharacterized protein {ECO:0000313|EnsemblPlants:AES95089})"</t>
  </si>
  <si>
    <t>Lcu.2RBY.5g055120</t>
  </si>
  <si>
    <t>"(Uncharacterized protein {ECO:0000313|EMBL:AFK47406.1})"</t>
  </si>
  <si>
    <t>Lcu.2RBY.5g055130</t>
  </si>
  <si>
    <t>"Leghemoglobin Lb120-34"</t>
  </si>
  <si>
    <t>Lcu.2RBY.5g055140</t>
  </si>
  <si>
    <t>"Leghemoglobin Lb120-29"</t>
  </si>
  <si>
    <t>Lcu.2RBY.5g055300</t>
  </si>
  <si>
    <t>Lcu.2RBY.5g055310</t>
  </si>
  <si>
    <t>Lcu.2RBY.5g068850</t>
  </si>
  <si>
    <t>Lcu.2RBY.5g068860</t>
  </si>
  <si>
    <t>"(Ethylene-responsive transcription factor ERF018 {ECO:0000313|EMBL:KEH39896.1}) (Uncharacterized protein {ECO:0000313|EnsemblPlants:KEH39896})"</t>
  </si>
  <si>
    <t>Lcu.2RBY.5g068870</t>
  </si>
  <si>
    <t>"(Smr (Small MutS-related) domain protein {ECO:0000313|EMBL:KEH39902.1}) (Uncharacterized protein {ECO:0000313|EnsemblPlants:KEH39902})"</t>
  </si>
  <si>
    <t>Lcu.2RBY.5g068880</t>
  </si>
  <si>
    <t>"(Uncharacterized protein {ECO:0000313|EMBL:KEH43673.1;  ECO:0000313|EnsemblPlants:KEH43673})"</t>
  </si>
  <si>
    <t>Lcu.2RBY.5g069440</t>
  </si>
  <si>
    <t>"(Transmembrane protein;  putative {ECO:0000313|EMBL:AES59217.1}) (Uncharacterized protein {ECO:0000313|EnsemblPlants:AES59217})"</t>
  </si>
  <si>
    <t>Lcu.2RBY.5g069450</t>
  </si>
  <si>
    <t>"(Cytochrome P450 family protein {ECO:0000313|EMBL:AES59219.2}) (Cytochrome p450 family CYP711A member {ECO:0000313|EMBL:AGI65361.1}) (Uncharacterized protein {ECO:0000313|EnsemblPlants:AES59219})"</t>
  </si>
  <si>
    <t>Lcu.2RBY.5g070350</t>
  </si>
  <si>
    <t>"(PHAX RNA-binding domain protein {ECO:0000313|EMBL:AES59286.2}) (Uncharacterized protein {ECO:0000313|EnsemblPlants:AES59286})"</t>
  </si>
  <si>
    <t>Lcu.2RBY.5g070360</t>
  </si>
  <si>
    <t>"(Protein phosphatase 2C-like protein {ECO:0000313|EMBL:AES59285.1}) (Uncharacterized protein {ECO:0000313|EnsemblPlants:AES59285})"</t>
  </si>
  <si>
    <t>Lcu.2RBY.5g070370</t>
  </si>
  <si>
    <t>"(Putative uncharacterized protein {ECO:0000313|EMBL:ABN05744.1})"</t>
  </si>
  <si>
    <t>Lcu.2RBY.5g070380</t>
  </si>
  <si>
    <t>"(Putative uncharacterized protein {ECO:0000313|EMBL:ABD28545.2})"</t>
  </si>
  <si>
    <t>Lcu.2RBY.5g070390</t>
  </si>
  <si>
    <t>"Vacuolar-processing enzyme (VPE) (3.4.22.-) (Proteinase B) (Precursor)"</t>
  </si>
  <si>
    <t>Lcu.2RBY.5g070400</t>
  </si>
  <si>
    <t>"(DUF1639 family protein {ECO:0000313|EMBL:KEH39943.1}) (Uncharacterized protein {ECO:0000313|EnsemblPlants:KEH39943})"</t>
  </si>
  <si>
    <t>Lcu.2RBY.5g070410</t>
  </si>
  <si>
    <t>"(Splicing factor 3B subunit 5/RDS3 complex subunit 10 {ECO:0000313|EMBL:AES68940.1}) (Uncharacterized protein {ECO:0000313|EMBL:AFK38289.1;  ECO:0000313|EnsemblPlants:AES68939})"</t>
  </si>
  <si>
    <t>Lcu.2RBY.5g070420</t>
  </si>
  <si>
    <t>"(Uncharacterized protein {ECO:0000313|EMBL:KOM42181.1})"</t>
  </si>
  <si>
    <t>Lcu.2RBY.5g070430</t>
  </si>
  <si>
    <t>"(Core-2/I-branching enzyme {ECO:0000313|EMBL:KEH39949.1}) (Uncharacterized protein {ECO:0000313|EnsemblPlants:KEH39949})"</t>
  </si>
  <si>
    <t>Lcu.2RBY.5g070440</t>
  </si>
  <si>
    <t>"(Uncharacterized protein {ECO:0000313|EMBL:AFK41144.1;  ECO:0000313|EnsemblPlants:KEH39951})"</t>
  </si>
  <si>
    <t>Lcu.2RBY.5g070450</t>
  </si>
  <si>
    <t>"(DEAD-box ATP-dependent RNA helicase {ECO:0000313|EMBL:AES95648.1}) (Uncharacterized protein {ECO:0000313|EnsemblPlants:AES95648})"</t>
  </si>
  <si>
    <t>Lcu.2RBY.5g070460</t>
  </si>
  <si>
    <t>"(Carboxyl-terminal peptidase {ECO:0000313|EMBL:KEH39952.1}) (Uncharacterized protein {ECO:0000313|EnsemblPlants:KEH39952})"</t>
  </si>
  <si>
    <t>Lcu.2RBY.5g070470</t>
  </si>
  <si>
    <t>Lcu.2RBY.5g070480</t>
  </si>
  <si>
    <t>LcELF3b</t>
  </si>
  <si>
    <t>"EARLY FLOWERING 3 like gene. Chickpea NCBI GeneID 101488316 "</t>
  </si>
  <si>
    <t>Lcu.2RBY.5g070490</t>
  </si>
  <si>
    <t>"(3'-5' exonuclease {ECO:0000313|EMBL:KEH39963.1}) (Uncharacterized protein {ECO:0000313|EnsemblPlants:KEH39963})"</t>
  </si>
  <si>
    <t>Lcu.2RBY.5g070500</t>
  </si>
  <si>
    <t>"(Clathrin interactor EPSIN-like protein {ECO:0000313|EMBL:KEH39964.1}) (Uncharacterized protein {ECO:0000313|EnsemblPlants:KEH39964})"</t>
  </si>
  <si>
    <t>Lcu.2RBY.5g070790</t>
  </si>
  <si>
    <t>"(Uncharacterized protein {ECO:0000313|EMBL:KCW68609.1})"</t>
  </si>
  <si>
    <t>Lcu.2RBY.5g070800</t>
  </si>
  <si>
    <t>"(Transcription factor {ECO:0000313|EMBL:KEH39990.1}) (Uncharacterized protein {ECO:0000313|EnsemblPlants:KEH39990})"</t>
  </si>
  <si>
    <t>Lcu.2RBY.5g070810</t>
  </si>
  <si>
    <t>Lcu.2RBY.5g070820</t>
  </si>
  <si>
    <t>"(Pantothenate kinase 2 {ECO:0000313|EMBL:KHN19303.1}) (2.7.1.33 {ECO:0000313|EMBL:KHN19303.1})"</t>
  </si>
  <si>
    <t>Lcu.2RBY.5g070830</t>
  </si>
  <si>
    <t>Lcu.2RBY.5g070840</t>
  </si>
  <si>
    <t>"(Retrotransposon gag protein {ECO:0000313|EMBL:ABD63156.1})"</t>
  </si>
  <si>
    <t>Lcu.2RBY.5g072620</t>
  </si>
  <si>
    <t>Lcu.2RBY.5g072630</t>
  </si>
  <si>
    <t>"(Alpha/beta-hydrolase family-like protein {ECO:0000313|EMBL:KEH40046.1}) (Uncharacterized protein {ECO:0000313|EnsemblPlants:KEH40046})"</t>
  </si>
  <si>
    <t>Lcu.2RBY.5g072640</t>
  </si>
  <si>
    <t>"(Heme oxygenase 2 {ECO:0000313|EMBL:ADV15621.1})"</t>
  </si>
  <si>
    <t>Lcu.2RBY.5g072650</t>
  </si>
  <si>
    <t>"(Calcineurin-like metallo-phosphoesterase superfamily protein {ECO:0000313|EMBL:KEH40052.1}) (Uncharacterized protein {ECO:0000313|EnsemblPlants:KEH40052})"</t>
  </si>
  <si>
    <t>Lcu.2RBY.5g072660</t>
  </si>
  <si>
    <t>"(Uncharacterized protein {ECO:0000313|EMBL:KHN22304.1})"</t>
  </si>
  <si>
    <t>Lcu.2RBY.5g072670</t>
  </si>
  <si>
    <t>Lcu.2RBY.5g074130</t>
  </si>
  <si>
    <t>"(IQ calmodulin-binding motif protein {ECO:0000313|EMBL:AES59647.1}) (Uncharacterized protein {ECO:0000313|EnsemblPlants:AES59647})"</t>
  </si>
  <si>
    <t>Lcu.2RBY.5g074140</t>
  </si>
  <si>
    <t>"(Small RNA degrading nuclease {ECO:0000313|EMBL:KEH40206.1}) (Uncharacterized protein {ECO:0000313|EnsemblPlants:KEH40206})"</t>
  </si>
  <si>
    <t>Lcu.2RBY.5g074150</t>
  </si>
  <si>
    <t>"(NAD(P)H-quinone oxidoreductase subunit 1 {ECO:0000313|EMBL:AES88207.1}) (Uncharacterized protein {ECO:0000313|EnsemblPlants:AES88207})"</t>
  </si>
  <si>
    <t>Lcu.2RBY.5g074160</t>
  </si>
  <si>
    <t>"(BnaC09g26910D protein {ECO:0000313|EMBL:CDX71650.1})"</t>
  </si>
  <si>
    <t>Lcu.2RBY.5g074170</t>
  </si>
  <si>
    <t>"(Ubiquitin-protein ligase {ECO:0000313|EMBL:KEH36276.1}) (Uncharacterized protein {ECO:0000313|EnsemblPlants:KEH36276})"</t>
  </si>
  <si>
    <t>Lcu.2RBY.5g074180</t>
  </si>
  <si>
    <t>Lcu.2RBY.5g074190</t>
  </si>
  <si>
    <t>"(Uncharacterized protein {ECO:0000313|EMBL:KDP36699.1})"</t>
  </si>
  <si>
    <t>Lcu.2RBY.7g012760</t>
  </si>
  <si>
    <t>"(Uncharacterized protein {ECO:0000313|EMBL:AET02101.1;  ECO:0000313|EnsemblPlants:AET02101})"</t>
  </si>
  <si>
    <t>Lcu.2RBY.7g012770</t>
  </si>
  <si>
    <t>"(Calcium-dependent lipid-binding (CaLB domain) family protein {ECO:0000313|EMBL:AET02103.1}) (Uncharacterized protein {ECO:0000313|EMBL:AFK38684.1;  ECO:0000313|EnsemblPlants:AET02103})"</t>
  </si>
  <si>
    <t>Lcu.2RBY.7g012780</t>
  </si>
  <si>
    <t>Lcu.2RBY.7g012790</t>
  </si>
  <si>
    <t>Lcu.2RBY.7g012800</t>
  </si>
  <si>
    <t>Lcu.2RBY.7g012810</t>
  </si>
  <si>
    <t>Lcu.2RBY.7g012820</t>
  </si>
  <si>
    <t>Lcu.2RBY.7g012830</t>
  </si>
  <si>
    <t>"(Putative uncharacterized protein {ECO:0000313|EMBL:CAA10133.1})"</t>
  </si>
  <si>
    <t>Lcu.2RBY.7g012840</t>
  </si>
  <si>
    <t>Lcu.2RBY.7g012850</t>
  </si>
  <si>
    <t>Lcu.2RBY.7g012860</t>
  </si>
  <si>
    <t>Lcu.2RBY.7g012870</t>
  </si>
  <si>
    <t>Lcu.2RBY.7g012880</t>
  </si>
  <si>
    <t>"(Acyl-CoA thioesterase {ECO:0000313|EMBL:AET02117.1}) (Uncharacterized protein {ECO:0000313|EMBL:AFK45352.1;  ECO:0000313|EnsemblPlants:AET02117})"</t>
  </si>
  <si>
    <t>Lcu.2RBY.7g012890</t>
  </si>
  <si>
    <t>Lcu.2RBY.7g012900</t>
  </si>
  <si>
    <t>"(Transcription factor {ECO:0000313|EMBL:KEH16413.1}) (Uncharacterized protein {ECO:0000313|EnsemblPlants:KEH16413})"</t>
  </si>
  <si>
    <t>Lcu.2RBY.7g012910</t>
  </si>
  <si>
    <t>"(Retrovirus-related Pol polyprotein from transposon TNT 1-94 {ECO:0000313|EMBL:KHN07855.1}) (3.1.13.- {ECO:0000313|EMBL:KHN07855.1}) (Fragment)"</t>
  </si>
  <si>
    <t>Lcu.2RBY.7g027690</t>
  </si>
  <si>
    <t>"(Receptor-like kinase {ECO:0000313|EMBL:AES82928.1})"</t>
  </si>
  <si>
    <t>Lcu.2RBY.7g031400</t>
  </si>
  <si>
    <t>"(Uncharacterized protein {ECO:0000313|EMBL:AES70998.2;  ECO:0000313|EnsemblPlants:AES70998})"</t>
  </si>
  <si>
    <t>Lcu.2RBY.7g035170</t>
  </si>
  <si>
    <t>Lcu.2RBY.7g035180</t>
  </si>
  <si>
    <t>"(Uncharacterized protein {ECO:0000313|EMBL:KHN47557.1}) (Fragment)"</t>
  </si>
  <si>
    <t>Lcu.2RBY.7g063330</t>
  </si>
  <si>
    <t>LcFULb</t>
  </si>
  <si>
    <t>"FRUITFULL (FUL) like gene"</t>
  </si>
  <si>
    <t>Lcu.2RBY.7g063340</t>
  </si>
  <si>
    <t>"(Transmembrane protein;  putative {ECO:0000313|EMBL:KEH17249.1}) (Uncharacterized protein {ECO:0000313|EnsemblPlants:KEH17249})"</t>
  </si>
  <si>
    <t>Lcu.2RBY.7g063940</t>
  </si>
  <si>
    <t>"(Uncharacterized protein {ECO:0000313|EMBL:AFK47808.1})"</t>
  </si>
  <si>
    <t>Lcu.2RBY.7g063950</t>
  </si>
  <si>
    <t>"(Uncharacterized protein {ECO:0000313|EMBL:KRH03821.1;  ECO:0000313|EnsemblPlants:GLYMA17G13141.1})"</t>
  </si>
  <si>
    <t>Lcu.2RBY.7g063960</t>
  </si>
  <si>
    <t>"(Transmembrane protein;  putative {ECO:0000313|EMBL:AES91285.1}) (Uncharacterized protein {ECO:0000313|EnsemblPlants:AES91285})"</t>
  </si>
  <si>
    <t>Lcu.2RBY.7g074710</t>
  </si>
  <si>
    <t>"(NB-ARC domain disease resistance protein {ECO:0000313|EMBL:KEH32924.1}) (Uncharacterized protein {ECO:0000313|EnsemblPlants:KEH32924})"</t>
  </si>
  <si>
    <t>Lcu.2RBY.7g074720</t>
  </si>
  <si>
    <t>"(Uncharacterized protein {ECO:0000313|EMBL:KRH25469.1;  ECO:0000313|EnsemblPlants:GLYMA12G11501.1})"</t>
  </si>
  <si>
    <t>Lcu.2RBY.7g074730</t>
  </si>
  <si>
    <t>"(Actin filament bundling protein P-115-ABP {ECO:0000313|EMBL:AES92272.2}) (Uncharacterized protein {ECO:0000313|EnsemblPlants:AES92272})"</t>
  </si>
  <si>
    <t>Lcu.2RBY.7g074740</t>
  </si>
  <si>
    <t>Lcu.2RBY.7g074750</t>
  </si>
  <si>
    <t>"(Uncharacterized protein {ECO:0000313|EMBL:AES92274.1;  ECO:0000313|EnsemblPlants:AES92274})"</t>
  </si>
  <si>
    <t>Lcu.2RBY.7g074760</t>
  </si>
  <si>
    <t>"(Transmembrane protein;  putative {ECO:0000313|EMBL:AES92275.1}) (Uncharacterized protein {ECO:0000313|EMBL:AFK43539.1;  ECO:0000313|EnsemblPlants:AES92275})"</t>
  </si>
  <si>
    <t>Lcu.2RBY.7g074770</t>
  </si>
  <si>
    <t>Lcu.2RBY.7g074780</t>
  </si>
  <si>
    <t>"(Two-component response regulator ARR12-like protein {ECO:0000313|EMBL:AES92578.2}) (Uncharacterized protein {ECO:0000313|EnsemblPlants:AES92578})"</t>
  </si>
  <si>
    <t>Lcu.2RBY.7g074830</t>
  </si>
  <si>
    <t>"(Transducin/WD-like repeat-protein {ECO:0000313|EMBL:AES92286.2}) (Uncharacterized protein {ECO:0000313|EnsemblPlants:AES92286})"</t>
  </si>
  <si>
    <t>Lcu.2RBY.7g074840</t>
  </si>
  <si>
    <t>"(Tyrosine kinase family protein {ECO:0000313|EMBL:AES92288.1}) (Uncharacterized protein {ECO:0000313|EnsemblPlants:AES92288})"</t>
  </si>
  <si>
    <t>Lcu.2RBY.7g074850</t>
  </si>
  <si>
    <t>"(Uncharacterized protein {ECO:0000313|EMBL:AFK36285.1})"</t>
  </si>
  <si>
    <t>Lcu.2RBY.7g074860</t>
  </si>
  <si>
    <t>"Ribulose bisphosphate carboxylase small chain {ECO:0000256|RuleBase:RU003627} (4.1.1.39 {ECO:0000256|RuleBase:RU003627})"</t>
  </si>
  <si>
    <t>Lcu.2RBY.7g074870</t>
  </si>
  <si>
    <t>"(Protein vernalization insensitive-like protein {ECO:0000313|EMBL:AES92294.1}) (Uncharacterized protein {ECO:0000313|EnsemblPlants:AES92294})"</t>
  </si>
  <si>
    <t>Lcu.2RBY.7g074880</t>
  </si>
  <si>
    <t>Lcu.2RBY.7g074890</t>
  </si>
  <si>
    <t>Lcu.2RBY.7g074900</t>
  </si>
  <si>
    <t>"(Peptidyl-prolyl cis-trans isomerase FKBP62-like protein {ECO:0000313|EMBL:KEH20636.1}) (Uncharacterized protein {ECO:0000313|EnsemblPlants:KEH20636})"</t>
  </si>
  <si>
    <t>LD block start position</t>
  </si>
  <si>
    <t>LD block end position</t>
  </si>
  <si>
    <t>   LD block size (kb)</t>
  </si>
  <si>
    <t>Protein concentration</t>
  </si>
  <si>
    <t>Lcu.2RBY.4g057620</t>
  </si>
  <si>
    <t>"(Transport inhibitor response 1 protein {ECO:0000313|EMBL:AES90448.2}) (Uncharacterized protein {ECO:0000313|EnsemblPlants:AES90448})"</t>
  </si>
  <si>
    <t>SLCU.2RBY.CHR4_377046641</t>
  </si>
  <si>
    <t>SLCU.2RBY.CHR4_62448676</t>
  </si>
  <si>
    <t>Lcu.2RBY.4g012560</t>
  </si>
  <si>
    <t>SLCU.2RBY.CHR4_228363386</t>
  </si>
  <si>
    <t>Lcu.2RBY.4g032000</t>
  </si>
  <si>
    <t>"(Uncharacterized protein {ECO:0000313|EMBL:KEH16120.1;  ECO:0000313|EnsemblPlants:KEH16120}) (Fragment)"</t>
  </si>
  <si>
    <t>SLCU.2RBY.CHR1_11069363</t>
  </si>
  <si>
    <t>Lcu.2RBY.1g003710</t>
  </si>
  <si>
    <t>" (Ubiquitin carboxyl-terminal hydrolase 12 {ECO:0000313|EMBL:KHN00014.1})"</t>
  </si>
  <si>
    <t>Lcu.2RBY.1g003720</t>
  </si>
  <si>
    <t>" (DUF223 domain protein {ECO:0000313|EMBL:AES97394.2}) (Uncharacterized protein {ECO:0000313|EnsemblPlants:AES97394})"</t>
  </si>
  <si>
    <t>Lcu.2RBY.1g003730</t>
  </si>
  <si>
    <t>"(Integrator complex subunit-like protein {ECO:0000313|EMBL:AES68916.1}) (Uncharacterized protein {ECO:0000313|EnsemblPlants:AES68916})"</t>
  </si>
  <si>
    <t>SLCU.2RBY.CHR4_63037949</t>
  </si>
  <si>
    <t>Lcu.2RBY.2g014390</t>
  </si>
  <si>
    <t>"(MAK16 protein carboxy-terminal region protein {ECO:0000313|EMBL:AES89723.2}) (Uncharacterized protein {ECO:0000313|EnsemblPlants:AES89723})"</t>
  </si>
  <si>
    <t>Lcu.2RBY.2g014480</t>
  </si>
  <si>
    <t>"(Ribose-5-phosphate isomerase A {ECO:0000313|EMBL:AES64867.2}) (Uncharacterized protein {ECO:0000313|EnsemblPlants:AES64867})"</t>
  </si>
  <si>
    <t>Lcu.2RBY.2g014490</t>
  </si>
  <si>
    <t>Lcu.2RBY.2g014500</t>
  </si>
  <si>
    <t>Lcu.2RBY.2g014510</t>
  </si>
  <si>
    <t>"(Uncharacterized protein {ECO:0000313|EMBL:AET03553.1;  ECO:0000313|EnsemblPlants:AET03553})"</t>
  </si>
  <si>
    <t>Lcu.2RBY.2g014520</t>
  </si>
  <si>
    <t>"(Uncharacterized protein {ECO:0000313|EMBL:KEH17080.1;  ECO:0000313|EnsemblPlants:KEH17080})"</t>
  </si>
  <si>
    <t>Lcu.2RBY.6g048390</t>
  </si>
  <si>
    <t>Lcu.2RBY.6g048400</t>
  </si>
  <si>
    <t>"(RNA-directed DNA polymerase (Reverse transcriptase);  Ribonuclease H {ECO:0000313|EMBL:EOY03788.1})"</t>
  </si>
  <si>
    <t>Lcu.2RBY.6g048410</t>
  </si>
  <si>
    <t>Lcu.2RBY.6g048450</t>
  </si>
  <si>
    <t>Lcu.2RBY.6g048460</t>
  </si>
  <si>
    <t>Lcu.2RBY.6g048550</t>
  </si>
  <si>
    <t>"(Protein phosphatase 2C family protein {ECO:0000313|EMBL:AES69636.1}) (Uncharacterized protein {ECO:0000313|EnsemblPlants:AES69636})"</t>
  </si>
  <si>
    <t>Lcu.2RBY.6g048360</t>
  </si>
  <si>
    <t>"(Haloacid dehalogenase-like hydrolase family protein {ECO:0000313|EMBL:AES81265.1}) (Uncharacterized protein {ECO:0000313|EnsemblPlants:AES81265})"</t>
  </si>
  <si>
    <t>Lcu.2RBY.6g048370</t>
  </si>
  <si>
    <t>"(Gag-pol polyprotein {ECO:0000313|EMBL:AAO73527.1})"</t>
  </si>
  <si>
    <t>Lcu.2RBY.6g048380</t>
  </si>
  <si>
    <t>Lcu.2RBY.6g048570</t>
  </si>
  <si>
    <t>"(Uncharacterized protein {ECO:0000313|EMBL:AES81284.1;  ECO:0000313|EnsemblPlants:AES81284})"</t>
  </si>
  <si>
    <t>Lcu.2RBY.6g048490</t>
  </si>
  <si>
    <t>Lcu.2RBY.6g048500</t>
  </si>
  <si>
    <t>"(EF hand calcium-binding family protein {ECO:0000313|EMBL:AES81273.1}) (Uncharacterized protein {ECO:0000313|EMBL:AFK35504.1;  ECO:0000313|EnsemblPlants:AES81273})"</t>
  </si>
  <si>
    <t>Lcu.2RBY.6g048510</t>
  </si>
  <si>
    <t>"(Triacylglycerol lipase SDP1 {ECO:0000313|EMBL:AES81274.1}) (Uncharacterized protein {ECO:0000313|EnsemblPlants:AES81274})"</t>
  </si>
  <si>
    <t>Lcu.2RBY.6g048430</t>
  </si>
  <si>
    <t>"(Transcription factor;  putative {ECO:0000313|EMBL:AES81269.2}) (Uncharacterized protein {ECO:0000313|EnsemblPlants:AES81269})"</t>
  </si>
  <si>
    <t>Lcu.2RBY.6g048440</t>
  </si>
  <si>
    <t>"(Uncharacterized protein {ECO:0000313|EnsemblPlants:Bo8g054080.1})"</t>
  </si>
  <si>
    <t>Lcu.2RBY.7g078610</t>
  </si>
  <si>
    <t>"(Uncharacterized protein {ECO:0000313|EMBL:ESW20570.1})"</t>
  </si>
  <si>
    <t>Lcu.2RBY.7g078620</t>
  </si>
  <si>
    <t>"Non-lysosomal glucosylceramidase {ECO:0000256|PIRNR:PIRNR028944} (NLGase {ECO:0000256|PIRNR:PIRNR028944}) (3.2.1.45 {ECO:0000256|PIRNR:PIRNR028944})"</t>
  </si>
  <si>
    <t>Lcu.2RBY.7g078630</t>
  </si>
  <si>
    <t>"Chloride channel protein {ECO:0000256|RuleBase:RU361221}"</t>
  </si>
  <si>
    <t>Lcu.2RBY.7g078640</t>
  </si>
  <si>
    <t>"(Dynamin-2B-like protein {ECO:0000313|EMBL:KEH32754.1}) (Uncharacterized protein {ECO:0000313|EnsemblPlants:KEH32754})"</t>
  </si>
  <si>
    <t>Lcu.2RBY.7g078650</t>
  </si>
  <si>
    <t>"(Acetyltransferase (GNAT) domain protein {ECO:0000313|EMBL:KEH32751.1}) (Uncharacterized protein {ECO:0000313|EnsemblPlants:KEH32751})"</t>
  </si>
  <si>
    <t>Lcu.2RBY.7g078660</t>
  </si>
  <si>
    <t>"(Enoyl-(Acyl carrier) reductase {ECO:0000313|EMBL:KEH32750.1}) (Uncharacterized protein {ECO:0000313|EnsemblPlants:KEH32750})"</t>
  </si>
  <si>
    <t>Lcu.2RBY.7g078670</t>
  </si>
  <si>
    <t>"(Mitotic spindle assembly checkpoint protein;  putative {ECO:0000313|EMBL:KEH32748.1}) (Uncharacterized protein {ECO:0000313|EnsemblPlants:KEH32748})"</t>
  </si>
  <si>
    <t>Lcu.2RBY.7g078680</t>
  </si>
  <si>
    <r>
      <t xml:space="preserve">#Notes: Genes with SNPs located within the gene sequences are in </t>
    </r>
    <r>
      <rPr>
        <b/>
        <sz val="16"/>
        <color theme="1"/>
        <rFont val="Times New Roman"/>
        <family val="1"/>
      </rPr>
      <t>bold</t>
    </r>
  </si>
  <si>
    <t>Environment-wise GWAS</t>
  </si>
  <si>
    <t>Combined GWAS</t>
  </si>
  <si>
    <r>
      <t xml:space="preserve">SNPs/Genes with their LD blocks containing significant SNPs found in the previous study are represented by </t>
    </r>
    <r>
      <rPr>
        <b/>
        <sz val="16"/>
        <color rgb="FF00B050"/>
        <rFont val="Times New Roman"/>
        <family val="1"/>
      </rPr>
      <t xml:space="preserve">green bold fonts </t>
    </r>
    <r>
      <rPr>
        <sz val="16"/>
        <color theme="1"/>
        <rFont val="Times New Roman"/>
        <family val="1"/>
      </rPr>
      <t>(Wright et al., 2025 doi: #https.doi.org.10.1002/csc2.70085)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</si>
</sst>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7"/>
      <color theme="1"/>
      <name val="Times New Roman"/>
      <family val="1"/>
    </font>
    <font>
      <b/>
      <sz val="17"/>
      <color rgb="FF000000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i/>
      <sz val="13"/>
      <color theme="1"/>
      <name val="Times New Roman"/>
      <family val="1"/>
    </font>
    <font>
      <sz val="11"/>
      <color rgb="FF000000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  <font>
      <b/>
      <sz val="16"/>
      <color rgb="FF00B050"/>
      <name val="Times New Roman"/>
      <family val="1"/>
    </font>
    <font>
      <b/>
      <sz val="11"/>
      <color rgb="FF00B050"/>
      <name val="Times New Roman"/>
      <family val="1"/>
    </font>
    <font>
      <b/>
      <sz val="15"/>
      <color theme="1"/>
      <name val="Times New Roman"/>
      <family val="1"/>
    </font>
    <font>
      <b/>
      <i/>
      <u/>
      <sz val="17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B05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8" fillId="0" borderId="0" xfId="0" applyFont="1"/>
    <xf numFmtId="0" fontId="11" fillId="0" borderId="0" xfId="0" applyFont="1"/>
    <xf numFmtId="0" fontId="2" fillId="2" borderId="8" xfId="0" applyFont="1" applyFill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applyFont="1"/>
    <xf numFmtId="0" fontId="16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08B3-D264-4C6E-ADFE-B640250D0C87}">
  <dimension ref="A1:N411"/>
  <sheetViews>
    <sheetView tabSelected="1" zoomScale="96" workbookViewId="0">
      <pane ySplit="1" topLeftCell="A2" activePane="bottomLeft" state="frozen"/>
      <selection pane="bottomLeft" activeCell="B7" sqref="B7:B15"/>
    </sheetView>
  </sheetViews>
  <sheetFormatPr defaultRowHeight="13.8" x14ac:dyDescent="0.3"/>
  <cols>
    <col min="1" max="1" width="8.88671875" style="5"/>
    <col min="2" max="2" width="79.88671875" style="5" customWidth="1"/>
    <col min="3" max="3" width="34.21875" style="5" customWidth="1"/>
    <col min="4" max="4" width="26" style="5" bestFit="1" customWidth="1"/>
    <col min="5" max="5" width="36" style="5" customWidth="1"/>
    <col min="6" max="6" width="30" style="5" bestFit="1" customWidth="1"/>
    <col min="7" max="7" width="28.109375" style="5" customWidth="1"/>
    <col min="8" max="8" width="25.33203125" style="5" bestFit="1" customWidth="1"/>
    <col min="9" max="9" width="12.21875" style="5" bestFit="1" customWidth="1"/>
    <col min="10" max="10" width="27" style="5" customWidth="1"/>
    <col min="11" max="11" width="19.6640625" style="5" customWidth="1"/>
    <col min="12" max="12" width="21" style="5" bestFit="1" customWidth="1"/>
    <col min="13" max="13" width="148" style="5" bestFit="1" customWidth="1"/>
    <col min="14" max="16384" width="8.88671875" style="5"/>
  </cols>
  <sheetData>
    <row r="1" spans="1:14" ht="21" x14ac:dyDescent="0.3">
      <c r="A1" s="4" t="s">
        <v>124</v>
      </c>
      <c r="B1" s="17" t="s">
        <v>115</v>
      </c>
      <c r="C1" s="17" t="s">
        <v>116</v>
      </c>
      <c r="D1" s="17" t="s">
        <v>572</v>
      </c>
      <c r="E1" s="17" t="s">
        <v>573</v>
      </c>
      <c r="F1" s="17" t="s">
        <v>574</v>
      </c>
      <c r="G1" s="17" t="s">
        <v>117</v>
      </c>
      <c r="H1" s="17" t="s">
        <v>118</v>
      </c>
      <c r="I1" s="17" t="s">
        <v>119</v>
      </c>
      <c r="J1" s="17" t="s">
        <v>120</v>
      </c>
      <c r="K1" s="17" t="s">
        <v>121</v>
      </c>
      <c r="L1" s="17" t="s">
        <v>122</v>
      </c>
      <c r="M1" s="17" t="s">
        <v>123</v>
      </c>
      <c r="N1" s="18"/>
    </row>
    <row r="2" spans="1:14" s="43" customFormat="1" ht="21" x14ac:dyDescent="0.3">
      <c r="A2" s="43" t="s">
        <v>642</v>
      </c>
    </row>
    <row r="3" spans="1:14" s="26" customFormat="1" ht="18.600000000000001" x14ac:dyDescent="0.3">
      <c r="A3" s="26" t="s">
        <v>0</v>
      </c>
    </row>
    <row r="4" spans="1:14" ht="16.8" x14ac:dyDescent="0.3">
      <c r="A4" s="6" t="s">
        <v>126</v>
      </c>
    </row>
    <row r="5" spans="1:14" x14ac:dyDescent="0.3">
      <c r="B5" s="5" t="s">
        <v>1</v>
      </c>
      <c r="C5" s="5" t="s">
        <v>130</v>
      </c>
      <c r="D5" s="5">
        <v>535616470</v>
      </c>
      <c r="E5" s="5">
        <v>535629987</v>
      </c>
      <c r="F5" s="5">
        <f>(E5-D5)/1000</f>
        <v>13.516999999999999</v>
      </c>
      <c r="G5" s="5">
        <v>535628125</v>
      </c>
      <c r="H5" s="5">
        <v>535630577</v>
      </c>
      <c r="I5" s="5">
        <v>2453</v>
      </c>
      <c r="J5" s="5" t="s">
        <v>138</v>
      </c>
      <c r="K5" s="5" t="s">
        <v>169</v>
      </c>
      <c r="L5" s="5" t="s">
        <v>169</v>
      </c>
      <c r="M5" s="5" t="s">
        <v>170</v>
      </c>
    </row>
    <row r="6" spans="1:14" x14ac:dyDescent="0.3">
      <c r="B6" s="5" t="s">
        <v>2</v>
      </c>
      <c r="C6" s="5" t="s">
        <v>228</v>
      </c>
      <c r="D6" s="7"/>
      <c r="E6" s="7"/>
      <c r="F6" s="7"/>
    </row>
    <row r="7" spans="1:14" ht="14.4" customHeight="1" x14ac:dyDescent="0.3">
      <c r="B7" s="28" t="s">
        <v>3</v>
      </c>
      <c r="C7" s="28" t="s">
        <v>367</v>
      </c>
      <c r="D7" s="34">
        <v>2479325</v>
      </c>
      <c r="E7" s="34">
        <v>2616650</v>
      </c>
      <c r="F7" s="31">
        <v>137.33000000000001</v>
      </c>
      <c r="G7" s="5">
        <v>2476552</v>
      </c>
      <c r="H7" s="5">
        <v>2479999</v>
      </c>
      <c r="I7" s="5">
        <v>3448</v>
      </c>
      <c r="J7" s="5" t="s">
        <v>138</v>
      </c>
      <c r="K7" s="5" t="s">
        <v>390</v>
      </c>
      <c r="L7" s="5" t="s">
        <v>390</v>
      </c>
      <c r="M7" s="5" t="s">
        <v>391</v>
      </c>
    </row>
    <row r="8" spans="1:14" x14ac:dyDescent="0.3">
      <c r="B8" s="28"/>
      <c r="C8" s="28"/>
      <c r="D8" s="35"/>
      <c r="E8" s="35"/>
      <c r="F8" s="32"/>
      <c r="G8" s="5">
        <v>2486576</v>
      </c>
      <c r="H8" s="5">
        <v>2491254</v>
      </c>
      <c r="I8" s="5">
        <v>4679</v>
      </c>
      <c r="J8" s="5" t="s">
        <v>138</v>
      </c>
      <c r="K8" s="5" t="s">
        <v>406</v>
      </c>
      <c r="L8" s="5" t="s">
        <v>406</v>
      </c>
      <c r="M8" s="5" t="s">
        <v>407</v>
      </c>
    </row>
    <row r="9" spans="1:14" x14ac:dyDescent="0.3">
      <c r="B9" s="28"/>
      <c r="C9" s="28"/>
      <c r="D9" s="35"/>
      <c r="E9" s="35"/>
      <c r="F9" s="32"/>
      <c r="G9" s="5">
        <v>2496037</v>
      </c>
      <c r="H9" s="5">
        <v>2501216</v>
      </c>
      <c r="I9" s="5">
        <v>5180</v>
      </c>
      <c r="J9" s="5" t="s">
        <v>138</v>
      </c>
      <c r="K9" s="5" t="s">
        <v>392</v>
      </c>
      <c r="L9" s="5" t="s">
        <v>392</v>
      </c>
      <c r="M9" s="5" t="s">
        <v>393</v>
      </c>
    </row>
    <row r="10" spans="1:14" x14ac:dyDescent="0.3">
      <c r="B10" s="28"/>
      <c r="C10" s="28"/>
      <c r="D10" s="35"/>
      <c r="E10" s="35"/>
      <c r="F10" s="32"/>
      <c r="G10" s="5">
        <v>2519194</v>
      </c>
      <c r="H10" s="5">
        <v>2522669</v>
      </c>
      <c r="I10" s="5">
        <v>3476</v>
      </c>
      <c r="J10" s="5" t="s">
        <v>131</v>
      </c>
      <c r="K10" s="5" t="s">
        <v>394</v>
      </c>
      <c r="L10" s="5" t="s">
        <v>394</v>
      </c>
      <c r="M10" s="5" t="s">
        <v>395</v>
      </c>
    </row>
    <row r="11" spans="1:14" x14ac:dyDescent="0.3">
      <c r="B11" s="28"/>
      <c r="C11" s="28"/>
      <c r="D11" s="35"/>
      <c r="E11" s="35"/>
      <c r="F11" s="32"/>
      <c r="G11" s="5">
        <v>2526988</v>
      </c>
      <c r="H11" s="5">
        <v>2533823</v>
      </c>
      <c r="I11" s="5">
        <v>6836</v>
      </c>
      <c r="J11" s="5" t="s">
        <v>131</v>
      </c>
      <c r="K11" s="5" t="s">
        <v>396</v>
      </c>
      <c r="L11" s="5" t="s">
        <v>396</v>
      </c>
      <c r="M11" s="5" t="s">
        <v>397</v>
      </c>
    </row>
    <row r="12" spans="1:14" x14ac:dyDescent="0.3">
      <c r="B12" s="28"/>
      <c r="C12" s="28"/>
      <c r="D12" s="35"/>
      <c r="E12" s="35"/>
      <c r="F12" s="32"/>
      <c r="G12" s="5">
        <v>2545454</v>
      </c>
      <c r="H12" s="5">
        <v>2547430</v>
      </c>
      <c r="I12" s="5">
        <v>1977</v>
      </c>
      <c r="J12" s="5" t="s">
        <v>131</v>
      </c>
      <c r="K12" s="5" t="s">
        <v>398</v>
      </c>
      <c r="L12" s="5" t="s">
        <v>398</v>
      </c>
      <c r="M12" s="5" t="s">
        <v>399</v>
      </c>
    </row>
    <row r="13" spans="1:14" x14ac:dyDescent="0.3">
      <c r="B13" s="28"/>
      <c r="C13" s="28"/>
      <c r="D13" s="35"/>
      <c r="E13" s="35"/>
      <c r="F13" s="32"/>
      <c r="G13" s="5">
        <v>2554908</v>
      </c>
      <c r="H13" s="5">
        <v>2567643</v>
      </c>
      <c r="I13" s="5">
        <v>12736</v>
      </c>
      <c r="J13" s="5" t="s">
        <v>131</v>
      </c>
      <c r="K13" s="5" t="s">
        <v>400</v>
      </c>
      <c r="L13" s="5" t="s">
        <v>400</v>
      </c>
      <c r="M13" s="5" t="s">
        <v>401</v>
      </c>
    </row>
    <row r="14" spans="1:14" x14ac:dyDescent="0.3">
      <c r="B14" s="28"/>
      <c r="C14" s="28"/>
      <c r="D14" s="35"/>
      <c r="E14" s="35"/>
      <c r="F14" s="32"/>
      <c r="G14" s="5">
        <v>2602543</v>
      </c>
      <c r="H14" s="5">
        <v>2605167</v>
      </c>
      <c r="I14" s="5">
        <v>2625</v>
      </c>
      <c r="J14" s="5" t="s">
        <v>131</v>
      </c>
      <c r="K14" s="5" t="s">
        <v>402</v>
      </c>
      <c r="L14" s="5" t="s">
        <v>402</v>
      </c>
      <c r="M14" s="5" t="s">
        <v>403</v>
      </c>
    </row>
    <row r="15" spans="1:14" x14ac:dyDescent="0.3">
      <c r="B15" s="28"/>
      <c r="C15" s="28"/>
      <c r="D15" s="35"/>
      <c r="E15" s="35"/>
      <c r="F15" s="36"/>
      <c r="G15" s="5">
        <v>2612476</v>
      </c>
      <c r="H15" s="5">
        <v>2615196</v>
      </c>
      <c r="I15" s="5">
        <v>2721</v>
      </c>
      <c r="J15" s="5" t="s">
        <v>131</v>
      </c>
      <c r="K15" s="5" t="s">
        <v>404</v>
      </c>
      <c r="L15" s="5" t="s">
        <v>404</v>
      </c>
      <c r="M15" s="5" t="s">
        <v>405</v>
      </c>
    </row>
    <row r="16" spans="1:14" ht="14.4" customHeight="1" x14ac:dyDescent="0.3">
      <c r="B16" s="28" t="s">
        <v>4</v>
      </c>
      <c r="C16" s="30" t="s">
        <v>367</v>
      </c>
      <c r="D16" s="31">
        <v>461205846</v>
      </c>
      <c r="E16" s="31">
        <v>461266526</v>
      </c>
      <c r="F16" s="31">
        <v>60.68</v>
      </c>
      <c r="G16" s="5">
        <v>461215516</v>
      </c>
      <c r="H16" s="5">
        <v>461216318</v>
      </c>
      <c r="I16" s="5">
        <v>803</v>
      </c>
      <c r="J16" s="5" t="s">
        <v>138</v>
      </c>
      <c r="K16" s="5" t="s">
        <v>435</v>
      </c>
      <c r="L16" s="5" t="s">
        <v>435</v>
      </c>
      <c r="M16" s="5" t="s">
        <v>436</v>
      </c>
    </row>
    <row r="17" spans="1:13" x14ac:dyDescent="0.3">
      <c r="B17" s="28"/>
      <c r="C17" s="30"/>
      <c r="D17" s="32"/>
      <c r="E17" s="32"/>
      <c r="F17" s="32"/>
      <c r="G17" s="5">
        <v>461247211</v>
      </c>
      <c r="H17" s="5">
        <v>461250346</v>
      </c>
      <c r="I17" s="5">
        <v>3136</v>
      </c>
      <c r="J17" s="5" t="s">
        <v>131</v>
      </c>
      <c r="K17" s="5" t="s">
        <v>437</v>
      </c>
      <c r="L17" s="5" t="s">
        <v>437</v>
      </c>
      <c r="M17" s="5" t="s">
        <v>438</v>
      </c>
    </row>
    <row r="18" spans="1:13" ht="14.4" customHeight="1" x14ac:dyDescent="0.3">
      <c r="B18" s="28" t="s">
        <v>5</v>
      </c>
      <c r="C18" s="28" t="s">
        <v>367</v>
      </c>
      <c r="D18" s="33">
        <v>461205846</v>
      </c>
      <c r="E18" s="33">
        <v>461266488</v>
      </c>
      <c r="F18" s="33">
        <v>60.64</v>
      </c>
      <c r="G18" s="5">
        <v>461215516</v>
      </c>
      <c r="H18" s="5">
        <v>461216318</v>
      </c>
      <c r="I18" s="5">
        <v>803</v>
      </c>
      <c r="J18" s="5" t="s">
        <v>138</v>
      </c>
      <c r="K18" s="5" t="s">
        <v>435</v>
      </c>
      <c r="L18" s="5" t="s">
        <v>435</v>
      </c>
      <c r="M18" s="5" t="s">
        <v>436</v>
      </c>
    </row>
    <row r="19" spans="1:13" x14ac:dyDescent="0.3">
      <c r="B19" s="28"/>
      <c r="C19" s="28"/>
      <c r="D19" s="33"/>
      <c r="E19" s="33"/>
      <c r="F19" s="33"/>
      <c r="G19" s="5">
        <v>461247211</v>
      </c>
      <c r="H19" s="5">
        <v>461250346</v>
      </c>
      <c r="I19" s="5">
        <v>3136</v>
      </c>
      <c r="J19" s="5" t="s">
        <v>131</v>
      </c>
      <c r="K19" s="5" t="s">
        <v>437</v>
      </c>
      <c r="L19" s="5" t="s">
        <v>437</v>
      </c>
      <c r="M19" s="5" t="s">
        <v>438</v>
      </c>
    </row>
    <row r="20" spans="1:13" ht="14.4" customHeight="1" x14ac:dyDescent="0.3">
      <c r="B20" s="28" t="s">
        <v>6</v>
      </c>
      <c r="C20" s="28" t="s">
        <v>312</v>
      </c>
      <c r="D20" s="37">
        <v>79221515</v>
      </c>
      <c r="E20" s="37">
        <v>79338785</v>
      </c>
      <c r="F20" s="37">
        <f>(E20-D20)/1000</f>
        <v>117.27</v>
      </c>
      <c r="G20" s="5">
        <v>79239899</v>
      </c>
      <c r="H20" s="5">
        <v>79242588</v>
      </c>
      <c r="I20" s="5">
        <v>2690</v>
      </c>
      <c r="J20" s="5" t="s">
        <v>131</v>
      </c>
      <c r="K20" s="5" t="s">
        <v>313</v>
      </c>
      <c r="L20" s="5" t="s">
        <v>313</v>
      </c>
      <c r="M20" s="5" t="s">
        <v>314</v>
      </c>
    </row>
    <row r="21" spans="1:13" ht="14.4" customHeight="1" x14ac:dyDescent="0.3">
      <c r="B21" s="28"/>
      <c r="C21" s="28"/>
      <c r="D21" s="28"/>
      <c r="E21" s="28"/>
      <c r="F21" s="28"/>
      <c r="G21" s="5">
        <v>79257244</v>
      </c>
      <c r="H21" s="5">
        <v>79257572</v>
      </c>
      <c r="I21" s="5">
        <v>329</v>
      </c>
      <c r="J21" s="5" t="s">
        <v>131</v>
      </c>
      <c r="K21" s="5" t="s">
        <v>315</v>
      </c>
      <c r="L21" s="5" t="s">
        <v>315</v>
      </c>
      <c r="M21" s="5" t="s">
        <v>316</v>
      </c>
    </row>
    <row r="22" spans="1:13" ht="14.4" customHeight="1" x14ac:dyDescent="0.3">
      <c r="B22" s="28"/>
      <c r="C22" s="28"/>
      <c r="D22" s="28"/>
      <c r="E22" s="28"/>
      <c r="F22" s="28"/>
      <c r="G22" s="5">
        <v>79267522</v>
      </c>
      <c r="H22" s="5">
        <v>79267904</v>
      </c>
      <c r="I22" s="5">
        <v>383</v>
      </c>
      <c r="J22" s="5" t="s">
        <v>131</v>
      </c>
      <c r="K22" s="5" t="s">
        <v>317</v>
      </c>
      <c r="L22" s="5" t="s">
        <v>317</v>
      </c>
      <c r="M22" s="5" t="s">
        <v>318</v>
      </c>
    </row>
    <row r="23" spans="1:13" ht="14.4" customHeight="1" x14ac:dyDescent="0.3">
      <c r="B23" s="28"/>
      <c r="C23" s="28"/>
      <c r="D23" s="28"/>
      <c r="E23" s="28"/>
      <c r="F23" s="28"/>
      <c r="G23" s="5">
        <v>79328854</v>
      </c>
      <c r="H23" s="5">
        <v>79334655</v>
      </c>
      <c r="I23" s="5">
        <v>5802</v>
      </c>
      <c r="J23" s="5" t="s">
        <v>131</v>
      </c>
      <c r="K23" s="5" t="s">
        <v>319</v>
      </c>
      <c r="L23" s="5" t="s">
        <v>319</v>
      </c>
      <c r="M23" s="5" t="s">
        <v>320</v>
      </c>
    </row>
    <row r="24" spans="1:13" ht="14.4" customHeight="1" x14ac:dyDescent="0.3">
      <c r="B24" s="28" t="s">
        <v>7</v>
      </c>
      <c r="C24" s="28" t="s">
        <v>312</v>
      </c>
      <c r="D24" s="28">
        <v>79230266</v>
      </c>
      <c r="E24" s="28">
        <v>79338785</v>
      </c>
      <c r="F24" s="28">
        <f>(E24-D24)/1000</f>
        <v>108.51900000000001</v>
      </c>
      <c r="G24" s="5">
        <v>79239899</v>
      </c>
      <c r="H24" s="5">
        <v>79242588</v>
      </c>
      <c r="I24" s="5">
        <v>2690</v>
      </c>
      <c r="J24" s="5" t="s">
        <v>131</v>
      </c>
      <c r="K24" s="5" t="s">
        <v>313</v>
      </c>
      <c r="L24" s="5" t="s">
        <v>313</v>
      </c>
      <c r="M24" s="5" t="s">
        <v>314</v>
      </c>
    </row>
    <row r="25" spans="1:13" ht="14.4" customHeight="1" x14ac:dyDescent="0.3">
      <c r="B25" s="28"/>
      <c r="C25" s="28"/>
      <c r="D25" s="28"/>
      <c r="E25" s="28"/>
      <c r="F25" s="28"/>
      <c r="G25" s="5">
        <v>79257244</v>
      </c>
      <c r="H25" s="5">
        <v>79257572</v>
      </c>
      <c r="I25" s="5">
        <v>329</v>
      </c>
      <c r="J25" s="5" t="s">
        <v>131</v>
      </c>
      <c r="K25" s="5" t="s">
        <v>315</v>
      </c>
      <c r="L25" s="5" t="s">
        <v>315</v>
      </c>
      <c r="M25" s="5" t="s">
        <v>316</v>
      </c>
    </row>
    <row r="26" spans="1:13" ht="14.4" customHeight="1" x14ac:dyDescent="0.3">
      <c r="B26" s="28"/>
      <c r="C26" s="28"/>
      <c r="D26" s="28"/>
      <c r="E26" s="28"/>
      <c r="F26" s="28"/>
      <c r="G26" s="5">
        <v>79267522</v>
      </c>
      <c r="H26" s="5">
        <v>79267904</v>
      </c>
      <c r="I26" s="5">
        <v>383</v>
      </c>
      <c r="J26" s="5" t="s">
        <v>131</v>
      </c>
      <c r="K26" s="5" t="s">
        <v>317</v>
      </c>
      <c r="L26" s="5" t="s">
        <v>317</v>
      </c>
      <c r="M26" s="5" t="s">
        <v>318</v>
      </c>
    </row>
    <row r="27" spans="1:13" ht="14.4" customHeight="1" x14ac:dyDescent="0.3">
      <c r="B27" s="28"/>
      <c r="C27" s="28"/>
      <c r="D27" s="28"/>
      <c r="E27" s="28"/>
      <c r="F27" s="28"/>
      <c r="G27" s="5">
        <v>79328854</v>
      </c>
      <c r="H27" s="5">
        <v>79334655</v>
      </c>
      <c r="I27" s="5">
        <v>5802</v>
      </c>
      <c r="J27" s="5" t="s">
        <v>131</v>
      </c>
      <c r="K27" s="5" t="s">
        <v>319</v>
      </c>
      <c r="L27" s="5" t="s">
        <v>319</v>
      </c>
      <c r="M27" s="5" t="s">
        <v>320</v>
      </c>
    </row>
    <row r="28" spans="1:13" x14ac:dyDescent="0.3">
      <c r="B28" s="5" t="s">
        <v>8</v>
      </c>
      <c r="C28" s="5" t="s">
        <v>228</v>
      </c>
    </row>
    <row r="29" spans="1:13" x14ac:dyDescent="0.3">
      <c r="B29" s="5" t="s">
        <v>9</v>
      </c>
      <c r="C29" s="5" t="s">
        <v>312</v>
      </c>
      <c r="D29" s="5">
        <v>341619535</v>
      </c>
      <c r="E29" s="5">
        <v>341737849</v>
      </c>
      <c r="F29" s="5">
        <f>(E29-D29)/1000</f>
        <v>118.31399999999999</v>
      </c>
      <c r="G29" s="5">
        <v>341655504</v>
      </c>
      <c r="H29" s="5">
        <v>341656552</v>
      </c>
      <c r="I29" s="5">
        <v>1049</v>
      </c>
      <c r="J29" s="5" t="s">
        <v>131</v>
      </c>
      <c r="K29" s="5" t="s">
        <v>329</v>
      </c>
      <c r="L29" s="5" t="s">
        <v>329</v>
      </c>
      <c r="M29" s="5" t="s">
        <v>330</v>
      </c>
    </row>
    <row r="30" spans="1:13" ht="16.8" x14ac:dyDescent="0.3">
      <c r="A30" s="6" t="s">
        <v>127</v>
      </c>
    </row>
    <row r="31" spans="1:13" x14ac:dyDescent="0.3">
      <c r="B31" s="28" t="s">
        <v>10</v>
      </c>
      <c r="C31" s="28" t="s">
        <v>130</v>
      </c>
      <c r="D31" s="28">
        <v>507042297</v>
      </c>
      <c r="E31" s="28">
        <v>507046967</v>
      </c>
      <c r="F31" s="28">
        <f>(E31-D31)/1000</f>
        <v>4.67</v>
      </c>
      <c r="G31" s="5">
        <v>507038850</v>
      </c>
      <c r="H31" s="5">
        <v>507047835</v>
      </c>
      <c r="I31" s="5">
        <v>8986</v>
      </c>
      <c r="J31" s="5" t="s">
        <v>138</v>
      </c>
      <c r="K31" s="5" t="s">
        <v>165</v>
      </c>
      <c r="L31" s="5" t="s">
        <v>165</v>
      </c>
      <c r="M31" s="5" t="s">
        <v>166</v>
      </c>
    </row>
    <row r="32" spans="1:13" x14ac:dyDescent="0.3">
      <c r="B32" s="28"/>
      <c r="C32" s="28"/>
      <c r="D32" s="28"/>
      <c r="E32" s="28"/>
      <c r="F32" s="28"/>
      <c r="G32" s="5">
        <v>507042208</v>
      </c>
      <c r="H32" s="5">
        <v>507047835</v>
      </c>
      <c r="I32" s="5">
        <v>5628</v>
      </c>
      <c r="J32" s="5" t="s">
        <v>131</v>
      </c>
      <c r="K32" s="5" t="s">
        <v>167</v>
      </c>
      <c r="L32" s="5" t="s">
        <v>167</v>
      </c>
      <c r="M32" s="5" t="s">
        <v>168</v>
      </c>
    </row>
    <row r="33" spans="2:13" x14ac:dyDescent="0.3">
      <c r="B33" s="5" t="s">
        <v>11</v>
      </c>
      <c r="C33" s="5" t="s">
        <v>130</v>
      </c>
      <c r="D33" s="5">
        <v>302239412</v>
      </c>
      <c r="E33" s="5">
        <v>302394934</v>
      </c>
      <c r="F33" s="5">
        <f>(E33-D33)/1000</f>
        <v>155.52199999999999</v>
      </c>
      <c r="G33" s="5">
        <v>302339133</v>
      </c>
      <c r="H33" s="5">
        <v>302351423</v>
      </c>
      <c r="I33" s="5">
        <v>12291</v>
      </c>
      <c r="J33" s="5" t="s">
        <v>138</v>
      </c>
      <c r="K33" s="5" t="s">
        <v>139</v>
      </c>
      <c r="L33" s="5" t="s">
        <v>139</v>
      </c>
      <c r="M33" s="5" t="s">
        <v>140</v>
      </c>
    </row>
    <row r="34" spans="2:13" x14ac:dyDescent="0.3">
      <c r="B34" s="28" t="s">
        <v>12</v>
      </c>
      <c r="C34" s="28" t="s">
        <v>205</v>
      </c>
      <c r="D34" s="28">
        <v>143539134</v>
      </c>
      <c r="E34" s="28">
        <v>143690129</v>
      </c>
      <c r="F34" s="28">
        <f>(E34-D34)/1000</f>
        <v>150.995</v>
      </c>
      <c r="G34" s="5">
        <v>143597332</v>
      </c>
      <c r="H34" s="5">
        <v>143597782</v>
      </c>
      <c r="I34" s="5">
        <v>451</v>
      </c>
      <c r="J34" s="5" t="s">
        <v>138</v>
      </c>
      <c r="K34" s="5" t="s">
        <v>220</v>
      </c>
      <c r="L34" s="5" t="s">
        <v>220</v>
      </c>
      <c r="M34" s="5" t="s">
        <v>221</v>
      </c>
    </row>
    <row r="35" spans="2:13" x14ac:dyDescent="0.3">
      <c r="B35" s="28"/>
      <c r="C35" s="28"/>
      <c r="D35" s="28"/>
      <c r="E35" s="28"/>
      <c r="F35" s="28"/>
      <c r="G35" s="5">
        <v>143683424</v>
      </c>
      <c r="H35" s="5">
        <v>143684109</v>
      </c>
      <c r="I35" s="5">
        <v>686</v>
      </c>
      <c r="J35" s="5" t="s">
        <v>138</v>
      </c>
      <c r="K35" s="5" t="s">
        <v>222</v>
      </c>
      <c r="L35" s="5" t="s">
        <v>222</v>
      </c>
      <c r="M35" s="5" t="s">
        <v>223</v>
      </c>
    </row>
    <row r="36" spans="2:13" x14ac:dyDescent="0.3">
      <c r="B36" s="28"/>
      <c r="C36" s="28"/>
      <c r="D36" s="28"/>
      <c r="E36" s="28"/>
      <c r="F36" s="28"/>
      <c r="G36" s="5">
        <v>143684317</v>
      </c>
      <c r="H36" s="5">
        <v>143685386</v>
      </c>
      <c r="I36" s="5">
        <v>1070</v>
      </c>
      <c r="J36" s="5" t="s">
        <v>138</v>
      </c>
      <c r="K36" s="5" t="s">
        <v>224</v>
      </c>
      <c r="L36" s="5" t="s">
        <v>224</v>
      </c>
      <c r="M36" s="5" t="s">
        <v>225</v>
      </c>
    </row>
    <row r="37" spans="2:13" x14ac:dyDescent="0.3">
      <c r="B37" s="5" t="s">
        <v>3</v>
      </c>
      <c r="C37" s="5" t="s">
        <v>228</v>
      </c>
    </row>
    <row r="38" spans="2:13" x14ac:dyDescent="0.3">
      <c r="B38" s="28" t="s">
        <v>13</v>
      </c>
      <c r="C38" s="28" t="s">
        <v>367</v>
      </c>
      <c r="D38" s="33">
        <v>465911238</v>
      </c>
      <c r="E38" s="31">
        <v>466089408</v>
      </c>
      <c r="F38" s="31">
        <v>178.7</v>
      </c>
      <c r="G38" s="5">
        <v>465928040</v>
      </c>
      <c r="H38" s="5">
        <v>465931016</v>
      </c>
      <c r="I38" s="5">
        <v>2977</v>
      </c>
      <c r="J38" s="5" t="s">
        <v>138</v>
      </c>
      <c r="K38" s="5" t="s">
        <v>471</v>
      </c>
      <c r="L38" s="5" t="s">
        <v>471</v>
      </c>
      <c r="M38" s="5" t="s">
        <v>472</v>
      </c>
    </row>
    <row r="39" spans="2:13" x14ac:dyDescent="0.3">
      <c r="B39" s="28"/>
      <c r="C39" s="28"/>
      <c r="D39" s="33"/>
      <c r="E39" s="32"/>
      <c r="F39" s="32"/>
      <c r="G39" s="5">
        <v>465937512</v>
      </c>
      <c r="H39" s="5">
        <v>465942249</v>
      </c>
      <c r="I39" s="5">
        <v>4738</v>
      </c>
      <c r="J39" s="5" t="s">
        <v>131</v>
      </c>
      <c r="K39" s="5" t="s">
        <v>473</v>
      </c>
      <c r="L39" s="5" t="s">
        <v>473</v>
      </c>
      <c r="M39" s="5" t="s">
        <v>474</v>
      </c>
    </row>
    <row r="40" spans="2:13" x14ac:dyDescent="0.3">
      <c r="B40" s="28"/>
      <c r="C40" s="28"/>
      <c r="D40" s="33"/>
      <c r="E40" s="32"/>
      <c r="F40" s="32"/>
      <c r="G40" s="5">
        <v>466027136</v>
      </c>
      <c r="H40" s="5">
        <v>466033752</v>
      </c>
      <c r="I40" s="5">
        <v>6617</v>
      </c>
      <c r="J40" s="5" t="s">
        <v>138</v>
      </c>
      <c r="K40" s="5" t="s">
        <v>475</v>
      </c>
      <c r="L40" s="5" t="s">
        <v>475</v>
      </c>
      <c r="M40" s="5" t="s">
        <v>150</v>
      </c>
    </row>
    <row r="41" spans="2:13" x14ac:dyDescent="0.3">
      <c r="B41" s="28"/>
      <c r="C41" s="28"/>
      <c r="D41" s="33"/>
      <c r="E41" s="32"/>
      <c r="F41" s="32"/>
      <c r="G41" s="5">
        <v>466037345</v>
      </c>
      <c r="H41" s="5">
        <v>466042158</v>
      </c>
      <c r="I41" s="5">
        <v>4814</v>
      </c>
      <c r="J41" s="5" t="s">
        <v>138</v>
      </c>
      <c r="K41" s="5" t="s">
        <v>476</v>
      </c>
      <c r="L41" s="5" t="s">
        <v>476</v>
      </c>
      <c r="M41" s="5" t="s">
        <v>477</v>
      </c>
    </row>
    <row r="42" spans="2:13" x14ac:dyDescent="0.3">
      <c r="B42" s="28"/>
      <c r="C42" s="28"/>
      <c r="D42" s="33"/>
      <c r="E42" s="32"/>
      <c r="F42" s="32"/>
      <c r="G42" s="5">
        <v>466042083</v>
      </c>
      <c r="H42" s="5">
        <v>466043831</v>
      </c>
      <c r="I42" s="5">
        <v>1749</v>
      </c>
      <c r="J42" s="5" t="s">
        <v>131</v>
      </c>
      <c r="K42" s="5" t="s">
        <v>478</v>
      </c>
      <c r="L42" s="5" t="s">
        <v>478</v>
      </c>
      <c r="M42" s="5" t="s">
        <v>150</v>
      </c>
    </row>
    <row r="43" spans="2:13" x14ac:dyDescent="0.3">
      <c r="B43" s="28"/>
      <c r="C43" s="28"/>
      <c r="D43" s="33"/>
      <c r="E43" s="36"/>
      <c r="F43" s="36"/>
      <c r="G43" s="5">
        <v>466046420</v>
      </c>
      <c r="H43" s="5">
        <v>466047255</v>
      </c>
      <c r="I43" s="5">
        <v>836</v>
      </c>
      <c r="J43" s="5" t="s">
        <v>131</v>
      </c>
      <c r="K43" s="5" t="s">
        <v>479</v>
      </c>
      <c r="L43" s="5" t="s">
        <v>479</v>
      </c>
      <c r="M43" s="5" t="s">
        <v>480</v>
      </c>
    </row>
    <row r="44" spans="2:13" ht="14.4" customHeight="1" x14ac:dyDescent="0.3">
      <c r="B44" s="28" t="s">
        <v>14</v>
      </c>
      <c r="C44" s="28" t="s">
        <v>367</v>
      </c>
      <c r="D44" s="41">
        <v>2493503</v>
      </c>
      <c r="E44" s="41">
        <v>2616650</v>
      </c>
      <c r="F44" s="41">
        <v>123.15</v>
      </c>
      <c r="G44" s="5">
        <v>2496037</v>
      </c>
      <c r="H44" s="5">
        <v>2501216</v>
      </c>
      <c r="I44" s="5">
        <v>5180</v>
      </c>
      <c r="J44" s="5" t="s">
        <v>138</v>
      </c>
      <c r="K44" s="5" t="s">
        <v>392</v>
      </c>
      <c r="L44" s="5" t="s">
        <v>392</v>
      </c>
      <c r="M44" s="5" t="s">
        <v>393</v>
      </c>
    </row>
    <row r="45" spans="2:13" x14ac:dyDescent="0.3">
      <c r="B45" s="28"/>
      <c r="C45" s="28"/>
      <c r="D45" s="39"/>
      <c r="E45" s="39"/>
      <c r="F45" s="39"/>
      <c r="G45" s="5">
        <v>2519194</v>
      </c>
      <c r="H45" s="5">
        <v>2522669</v>
      </c>
      <c r="I45" s="5">
        <v>3476</v>
      </c>
      <c r="J45" s="5" t="s">
        <v>131</v>
      </c>
      <c r="K45" s="5" t="s">
        <v>394</v>
      </c>
      <c r="L45" s="5" t="s">
        <v>394</v>
      </c>
      <c r="M45" s="5" t="s">
        <v>395</v>
      </c>
    </row>
    <row r="46" spans="2:13" x14ac:dyDescent="0.3">
      <c r="B46" s="28"/>
      <c r="C46" s="28"/>
      <c r="D46" s="39"/>
      <c r="E46" s="39"/>
      <c r="F46" s="39"/>
      <c r="G46" s="5">
        <v>2526988</v>
      </c>
      <c r="H46" s="5">
        <v>2533823</v>
      </c>
      <c r="I46" s="5">
        <v>6836</v>
      </c>
      <c r="J46" s="5" t="s">
        <v>131</v>
      </c>
      <c r="K46" s="5" t="s">
        <v>396</v>
      </c>
      <c r="L46" s="5" t="s">
        <v>396</v>
      </c>
      <c r="M46" s="5" t="s">
        <v>397</v>
      </c>
    </row>
    <row r="47" spans="2:13" x14ac:dyDescent="0.3">
      <c r="B47" s="28"/>
      <c r="C47" s="28"/>
      <c r="D47" s="39"/>
      <c r="E47" s="39"/>
      <c r="F47" s="39"/>
      <c r="G47" s="5">
        <v>2545454</v>
      </c>
      <c r="H47" s="5">
        <v>2547430</v>
      </c>
      <c r="I47" s="5">
        <v>1977</v>
      </c>
      <c r="J47" s="5" t="s">
        <v>131</v>
      </c>
      <c r="K47" s="5" t="s">
        <v>398</v>
      </c>
      <c r="L47" s="5" t="s">
        <v>398</v>
      </c>
      <c r="M47" s="5" t="s">
        <v>399</v>
      </c>
    </row>
    <row r="48" spans="2:13" x14ac:dyDescent="0.3">
      <c r="B48" s="28"/>
      <c r="C48" s="28"/>
      <c r="D48" s="39"/>
      <c r="E48" s="39"/>
      <c r="F48" s="39"/>
      <c r="G48" s="5">
        <v>2554908</v>
      </c>
      <c r="H48" s="5">
        <v>2567643</v>
      </c>
      <c r="I48" s="5">
        <v>12736</v>
      </c>
      <c r="J48" s="5" t="s">
        <v>131</v>
      </c>
      <c r="K48" s="5" t="s">
        <v>400</v>
      </c>
      <c r="L48" s="5" t="s">
        <v>400</v>
      </c>
      <c r="M48" s="5" t="s">
        <v>401</v>
      </c>
    </row>
    <row r="49" spans="1:13" x14ac:dyDescent="0.3">
      <c r="B49" s="28"/>
      <c r="C49" s="28"/>
      <c r="D49" s="39"/>
      <c r="E49" s="39"/>
      <c r="F49" s="39"/>
      <c r="G49" s="5">
        <v>2602543</v>
      </c>
      <c r="H49" s="5">
        <v>2605167</v>
      </c>
      <c r="I49" s="5">
        <v>2625</v>
      </c>
      <c r="J49" s="5" t="s">
        <v>131</v>
      </c>
      <c r="K49" s="5" t="s">
        <v>402</v>
      </c>
      <c r="L49" s="5" t="s">
        <v>402</v>
      </c>
      <c r="M49" s="5" t="s">
        <v>403</v>
      </c>
    </row>
    <row r="50" spans="1:13" x14ac:dyDescent="0.3">
      <c r="B50" s="28"/>
      <c r="C50" s="28"/>
      <c r="D50" s="39"/>
      <c r="E50" s="39"/>
      <c r="F50" s="39"/>
      <c r="G50" s="5">
        <v>2612476</v>
      </c>
      <c r="H50" s="5">
        <v>2615196</v>
      </c>
      <c r="I50" s="5">
        <v>2721</v>
      </c>
      <c r="J50" s="5" t="s">
        <v>131</v>
      </c>
      <c r="K50" s="5" t="s">
        <v>404</v>
      </c>
      <c r="L50" s="5" t="s">
        <v>404</v>
      </c>
      <c r="M50" s="5" t="s">
        <v>405</v>
      </c>
    </row>
    <row r="51" spans="1:13" x14ac:dyDescent="0.3">
      <c r="B51" s="5" t="s">
        <v>15</v>
      </c>
      <c r="C51" s="5" t="s">
        <v>228</v>
      </c>
    </row>
    <row r="52" spans="1:13" x14ac:dyDescent="0.3">
      <c r="B52" s="5" t="s">
        <v>9</v>
      </c>
      <c r="C52" s="5" t="s">
        <v>228</v>
      </c>
    </row>
    <row r="53" spans="1:13" ht="16.8" x14ac:dyDescent="0.3">
      <c r="A53" s="6" t="s">
        <v>128</v>
      </c>
    </row>
    <row r="54" spans="1:13" x14ac:dyDescent="0.3">
      <c r="B54" s="5" t="s">
        <v>16</v>
      </c>
      <c r="C54" s="5" t="s">
        <v>205</v>
      </c>
      <c r="D54" s="5">
        <v>360712658</v>
      </c>
      <c r="E54" s="5">
        <v>360850557</v>
      </c>
      <c r="F54" s="5">
        <f>(E54-D54)/1000</f>
        <v>137.899</v>
      </c>
      <c r="G54" s="5">
        <v>360749891</v>
      </c>
      <c r="H54" s="5">
        <v>360750387</v>
      </c>
      <c r="I54" s="5">
        <v>497</v>
      </c>
      <c r="J54" s="5" t="s">
        <v>138</v>
      </c>
      <c r="K54" s="5" t="s">
        <v>304</v>
      </c>
      <c r="L54" s="5" t="s">
        <v>304</v>
      </c>
      <c r="M54" s="5" t="s">
        <v>150</v>
      </c>
    </row>
    <row r="55" spans="1:13" x14ac:dyDescent="0.3">
      <c r="B55" s="5" t="s">
        <v>17</v>
      </c>
      <c r="C55" s="5" t="s">
        <v>228</v>
      </c>
      <c r="D55" s="9"/>
      <c r="E55" s="9"/>
      <c r="F55" s="9"/>
    </row>
    <row r="56" spans="1:13" ht="14.4" customHeight="1" x14ac:dyDescent="0.3">
      <c r="B56" s="28" t="s">
        <v>18</v>
      </c>
      <c r="C56" s="28" t="s">
        <v>367</v>
      </c>
      <c r="D56" s="33">
        <v>473582602</v>
      </c>
      <c r="E56" s="31">
        <v>473664815</v>
      </c>
      <c r="F56" s="33">
        <v>82.2</v>
      </c>
      <c r="G56" s="5">
        <v>473590829</v>
      </c>
      <c r="H56" s="5">
        <v>473595560</v>
      </c>
      <c r="I56" s="5">
        <v>4732</v>
      </c>
      <c r="J56" s="5" t="s">
        <v>138</v>
      </c>
      <c r="K56" s="5" t="s">
        <v>491</v>
      </c>
      <c r="L56" s="5" t="s">
        <v>491</v>
      </c>
      <c r="M56" s="5" t="s">
        <v>492</v>
      </c>
    </row>
    <row r="57" spans="1:13" x14ac:dyDescent="0.3">
      <c r="B57" s="28"/>
      <c r="C57" s="28"/>
      <c r="D57" s="33"/>
      <c r="E57" s="32"/>
      <c r="F57" s="33"/>
      <c r="G57" s="5">
        <v>473598410</v>
      </c>
      <c r="H57" s="5">
        <v>473604294</v>
      </c>
      <c r="I57" s="5">
        <v>5885</v>
      </c>
      <c r="J57" s="5" t="s">
        <v>138</v>
      </c>
      <c r="K57" s="5" t="s">
        <v>493</v>
      </c>
      <c r="L57" s="5" t="s">
        <v>493</v>
      </c>
      <c r="M57" s="5" t="s">
        <v>494</v>
      </c>
    </row>
    <row r="58" spans="1:13" x14ac:dyDescent="0.3">
      <c r="B58" s="28"/>
      <c r="C58" s="28"/>
      <c r="D58" s="33"/>
      <c r="E58" s="32"/>
      <c r="F58" s="33"/>
      <c r="G58" s="5">
        <v>473609645</v>
      </c>
      <c r="H58" s="5">
        <v>473613248</v>
      </c>
      <c r="I58" s="5">
        <v>3604</v>
      </c>
      <c r="J58" s="5" t="s">
        <v>138</v>
      </c>
      <c r="K58" s="5" t="s">
        <v>495</v>
      </c>
      <c r="L58" s="5" t="s">
        <v>495</v>
      </c>
      <c r="M58" s="5" t="s">
        <v>496</v>
      </c>
    </row>
    <row r="59" spans="1:13" x14ac:dyDescent="0.3">
      <c r="B59" s="28"/>
      <c r="C59" s="28"/>
      <c r="D59" s="33"/>
      <c r="E59" s="32"/>
      <c r="F59" s="33"/>
      <c r="G59" s="5">
        <v>473610376</v>
      </c>
      <c r="H59" s="5">
        <v>473615101</v>
      </c>
      <c r="I59" s="5">
        <v>4726</v>
      </c>
      <c r="J59" s="5" t="s">
        <v>131</v>
      </c>
      <c r="K59" s="5" t="s">
        <v>497</v>
      </c>
      <c r="L59" s="5" t="s">
        <v>497</v>
      </c>
      <c r="M59" s="5" t="s">
        <v>498</v>
      </c>
    </row>
    <row r="60" spans="1:13" x14ac:dyDescent="0.3">
      <c r="B60" s="28"/>
      <c r="C60" s="28"/>
      <c r="D60" s="33"/>
      <c r="E60" s="32"/>
      <c r="F60" s="33"/>
      <c r="G60" s="5">
        <v>473624017</v>
      </c>
      <c r="H60" s="5">
        <v>473625457</v>
      </c>
      <c r="I60" s="5">
        <v>1441</v>
      </c>
      <c r="J60" s="5" t="s">
        <v>138</v>
      </c>
      <c r="K60" s="5" t="s">
        <v>499</v>
      </c>
      <c r="L60" s="5" t="s">
        <v>499</v>
      </c>
      <c r="M60" s="5" t="s">
        <v>500</v>
      </c>
    </row>
    <row r="61" spans="1:13" x14ac:dyDescent="0.3">
      <c r="B61" s="28"/>
      <c r="C61" s="28"/>
      <c r="D61" s="33"/>
      <c r="E61" s="32"/>
      <c r="F61" s="33"/>
      <c r="G61" s="5">
        <v>473644768</v>
      </c>
      <c r="H61" s="5">
        <v>473648220</v>
      </c>
      <c r="I61" s="5">
        <v>3453</v>
      </c>
      <c r="J61" s="5" t="s">
        <v>138</v>
      </c>
      <c r="K61" s="5" t="s">
        <v>501</v>
      </c>
      <c r="L61" s="5" t="s">
        <v>501</v>
      </c>
      <c r="M61" s="5" t="s">
        <v>500</v>
      </c>
    </row>
    <row r="62" spans="1:13" x14ac:dyDescent="0.3">
      <c r="B62" s="28"/>
      <c r="C62" s="28"/>
      <c r="D62" s="33"/>
      <c r="E62" s="36"/>
      <c r="F62" s="33"/>
      <c r="G62" s="5">
        <v>473655750</v>
      </c>
      <c r="H62" s="5">
        <v>473660310</v>
      </c>
      <c r="I62" s="5">
        <v>4561</v>
      </c>
      <c r="J62" s="5" t="s">
        <v>138</v>
      </c>
      <c r="K62" s="5" t="s">
        <v>502</v>
      </c>
      <c r="L62" s="5" t="s">
        <v>502</v>
      </c>
      <c r="M62" s="5" t="s">
        <v>503</v>
      </c>
    </row>
    <row r="63" spans="1:13" ht="14.4" customHeight="1" x14ac:dyDescent="0.3">
      <c r="B63" s="28" t="s">
        <v>19</v>
      </c>
      <c r="C63" s="28" t="s">
        <v>312</v>
      </c>
      <c r="D63" s="37">
        <v>98406450</v>
      </c>
      <c r="E63" s="37">
        <v>98593923</v>
      </c>
      <c r="F63" s="37">
        <f>(E63-D63)/1000</f>
        <v>187.47300000000001</v>
      </c>
      <c r="G63" s="5">
        <v>98450303</v>
      </c>
      <c r="H63" s="5">
        <v>98451227</v>
      </c>
      <c r="I63" s="5">
        <v>925</v>
      </c>
      <c r="J63" s="5" t="s">
        <v>138</v>
      </c>
      <c r="K63" s="5" t="s">
        <v>321</v>
      </c>
      <c r="L63" s="5" t="s">
        <v>321</v>
      </c>
      <c r="M63" s="5" t="s">
        <v>192</v>
      </c>
    </row>
    <row r="64" spans="1:13" ht="14.4" customHeight="1" x14ac:dyDescent="0.3">
      <c r="B64" s="28"/>
      <c r="C64" s="28"/>
      <c r="D64" s="28"/>
      <c r="E64" s="28"/>
      <c r="F64" s="28"/>
      <c r="G64" s="5">
        <v>98564221</v>
      </c>
      <c r="H64" s="5">
        <v>98565802</v>
      </c>
      <c r="I64" s="5">
        <v>1582</v>
      </c>
      <c r="J64" s="5" t="s">
        <v>131</v>
      </c>
      <c r="K64" s="5" t="s">
        <v>322</v>
      </c>
      <c r="L64" s="5" t="s">
        <v>322</v>
      </c>
      <c r="M64" s="5" t="s">
        <v>323</v>
      </c>
    </row>
    <row r="65" spans="1:13" ht="14.4" customHeight="1" x14ac:dyDescent="0.3">
      <c r="B65" s="28"/>
      <c r="C65" s="28"/>
      <c r="D65" s="28"/>
      <c r="E65" s="28"/>
      <c r="F65" s="28"/>
      <c r="G65" s="5">
        <v>98564896</v>
      </c>
      <c r="H65" s="5">
        <v>98567472</v>
      </c>
      <c r="I65" s="5">
        <v>2577</v>
      </c>
      <c r="J65" s="5" t="s">
        <v>138</v>
      </c>
      <c r="K65" s="5" t="s">
        <v>324</v>
      </c>
      <c r="L65" s="5" t="s">
        <v>324</v>
      </c>
      <c r="M65" s="5" t="s">
        <v>150</v>
      </c>
    </row>
    <row r="66" spans="1:13" ht="14.4" customHeight="1" x14ac:dyDescent="0.3">
      <c r="B66" s="28"/>
      <c r="C66" s="28"/>
      <c r="D66" s="28"/>
      <c r="E66" s="28"/>
      <c r="F66" s="28"/>
      <c r="G66" s="5">
        <v>98565833</v>
      </c>
      <c r="H66" s="5">
        <v>98569840</v>
      </c>
      <c r="I66" s="5">
        <v>4008</v>
      </c>
      <c r="J66" s="5" t="s">
        <v>131</v>
      </c>
      <c r="K66" s="5" t="s">
        <v>325</v>
      </c>
      <c r="L66" s="5" t="s">
        <v>325</v>
      </c>
      <c r="M66" s="5" t="s">
        <v>326</v>
      </c>
    </row>
    <row r="67" spans="1:13" ht="14.4" customHeight="1" x14ac:dyDescent="0.3">
      <c r="B67" s="28"/>
      <c r="C67" s="28"/>
      <c r="D67" s="28"/>
      <c r="E67" s="28"/>
      <c r="F67" s="28"/>
      <c r="G67" s="5">
        <v>98573355</v>
      </c>
      <c r="H67" s="5">
        <v>98583937</v>
      </c>
      <c r="I67" s="5">
        <v>10583</v>
      </c>
      <c r="J67" s="5" t="s">
        <v>138</v>
      </c>
      <c r="K67" s="5" t="s">
        <v>327</v>
      </c>
      <c r="L67" s="5" t="s">
        <v>327</v>
      </c>
      <c r="M67" s="5" t="s">
        <v>328</v>
      </c>
    </row>
    <row r="68" spans="1:13" ht="16.8" x14ac:dyDescent="0.3">
      <c r="A68" s="6" t="s">
        <v>129</v>
      </c>
    </row>
    <row r="69" spans="1:13" x14ac:dyDescent="0.3">
      <c r="B69" s="27" t="s">
        <v>20</v>
      </c>
      <c r="C69" s="28" t="s">
        <v>130</v>
      </c>
      <c r="D69" s="28">
        <v>522839824</v>
      </c>
      <c r="E69" s="28">
        <v>522855462</v>
      </c>
      <c r="F69" s="28">
        <f>(E69-D69)/1000</f>
        <v>15.638</v>
      </c>
      <c r="G69" s="5">
        <v>522836179</v>
      </c>
      <c r="H69" s="5">
        <v>522841657</v>
      </c>
      <c r="I69" s="5">
        <v>5479</v>
      </c>
      <c r="J69" s="5" t="s">
        <v>131</v>
      </c>
      <c r="K69" s="5" t="s">
        <v>173</v>
      </c>
      <c r="L69" s="5" t="s">
        <v>173</v>
      </c>
      <c r="M69" s="5" t="s">
        <v>174</v>
      </c>
    </row>
    <row r="70" spans="1:13" x14ac:dyDescent="0.3">
      <c r="B70" s="27"/>
      <c r="C70" s="28"/>
      <c r="D70" s="28"/>
      <c r="E70" s="28"/>
      <c r="F70" s="28"/>
      <c r="G70" s="5">
        <v>522849132</v>
      </c>
      <c r="H70" s="5">
        <v>522856161</v>
      </c>
      <c r="I70" s="5">
        <v>7030</v>
      </c>
      <c r="J70" s="5" t="s">
        <v>138</v>
      </c>
      <c r="K70" s="13" t="s">
        <v>175</v>
      </c>
      <c r="L70" s="13" t="s">
        <v>175</v>
      </c>
      <c r="M70" s="5" t="s">
        <v>176</v>
      </c>
    </row>
    <row r="71" spans="1:13" x14ac:dyDescent="0.3">
      <c r="B71" s="5" t="s">
        <v>21</v>
      </c>
      <c r="C71" s="5" t="s">
        <v>228</v>
      </c>
    </row>
    <row r="72" spans="1:13" ht="14.4" customHeight="1" x14ac:dyDescent="0.3">
      <c r="B72" s="27" t="s">
        <v>22</v>
      </c>
      <c r="C72" s="28" t="s">
        <v>367</v>
      </c>
      <c r="D72" s="28">
        <v>19149206</v>
      </c>
      <c r="E72" s="28">
        <v>19337128</v>
      </c>
      <c r="F72" s="39">
        <v>187.92</v>
      </c>
      <c r="G72" s="5">
        <v>19187808</v>
      </c>
      <c r="H72" s="5">
        <v>19194377</v>
      </c>
      <c r="I72" s="5">
        <v>6570</v>
      </c>
      <c r="J72" s="5" t="s">
        <v>138</v>
      </c>
      <c r="K72" s="5" t="s">
        <v>408</v>
      </c>
      <c r="L72" s="5" t="s">
        <v>408</v>
      </c>
      <c r="M72" s="5" t="s">
        <v>409</v>
      </c>
    </row>
    <row r="73" spans="1:13" x14ac:dyDescent="0.3">
      <c r="B73" s="27"/>
      <c r="C73" s="28"/>
      <c r="D73" s="28"/>
      <c r="E73" s="28"/>
      <c r="F73" s="39"/>
      <c r="G73" s="5">
        <v>19196719</v>
      </c>
      <c r="H73" s="5">
        <v>19200326</v>
      </c>
      <c r="I73" s="5">
        <v>3608</v>
      </c>
      <c r="J73" s="5" t="s">
        <v>131</v>
      </c>
      <c r="K73" s="5" t="s">
        <v>410</v>
      </c>
      <c r="L73" s="5" t="s">
        <v>410</v>
      </c>
      <c r="M73" s="5" t="s">
        <v>411</v>
      </c>
    </row>
    <row r="74" spans="1:13" x14ac:dyDescent="0.3">
      <c r="B74" s="27"/>
      <c r="C74" s="28"/>
      <c r="D74" s="28"/>
      <c r="E74" s="28"/>
      <c r="F74" s="39"/>
      <c r="G74" s="5">
        <v>19233213</v>
      </c>
      <c r="H74" s="5">
        <v>19240451</v>
      </c>
      <c r="I74" s="5">
        <v>7239</v>
      </c>
      <c r="J74" s="5" t="s">
        <v>138</v>
      </c>
      <c r="K74" s="5" t="s">
        <v>412</v>
      </c>
      <c r="L74" s="5" t="s">
        <v>412</v>
      </c>
      <c r="M74" s="5" t="s">
        <v>413</v>
      </c>
    </row>
    <row r="75" spans="1:13" x14ac:dyDescent="0.3">
      <c r="B75" s="27"/>
      <c r="C75" s="28"/>
      <c r="D75" s="28"/>
      <c r="E75" s="28"/>
      <c r="F75" s="39"/>
      <c r="G75" s="5">
        <v>19250422</v>
      </c>
      <c r="H75" s="5">
        <v>19250814</v>
      </c>
      <c r="I75" s="5">
        <v>393</v>
      </c>
      <c r="J75" s="5" t="s">
        <v>138</v>
      </c>
      <c r="K75" s="5" t="s">
        <v>414</v>
      </c>
      <c r="L75" s="5" t="s">
        <v>414</v>
      </c>
      <c r="M75" s="5" t="s">
        <v>415</v>
      </c>
    </row>
    <row r="76" spans="1:13" x14ac:dyDescent="0.3">
      <c r="B76" s="27"/>
      <c r="C76" s="28"/>
      <c r="D76" s="28"/>
      <c r="E76" s="28"/>
      <c r="F76" s="39"/>
      <c r="G76" s="5">
        <v>19257723</v>
      </c>
      <c r="H76" s="5">
        <v>19260847</v>
      </c>
      <c r="I76" s="5">
        <v>3125</v>
      </c>
      <c r="J76" s="5" t="s">
        <v>131</v>
      </c>
      <c r="K76" s="5" t="s">
        <v>416</v>
      </c>
      <c r="L76" s="5" t="s">
        <v>416</v>
      </c>
      <c r="M76" s="5" t="s">
        <v>417</v>
      </c>
    </row>
    <row r="77" spans="1:13" x14ac:dyDescent="0.3">
      <c r="B77" s="27"/>
      <c r="C77" s="28"/>
      <c r="D77" s="38"/>
      <c r="E77" s="38"/>
      <c r="F77" s="40"/>
      <c r="G77" s="5">
        <v>19266532</v>
      </c>
      <c r="H77" s="5">
        <v>19268245</v>
      </c>
      <c r="I77" s="5">
        <v>1714</v>
      </c>
      <c r="J77" s="5" t="s">
        <v>131</v>
      </c>
      <c r="K77" s="13" t="s">
        <v>418</v>
      </c>
      <c r="L77" s="13" t="s">
        <v>418</v>
      </c>
      <c r="M77" s="5" t="s">
        <v>419</v>
      </c>
    </row>
    <row r="78" spans="1:13" ht="14.4" customHeight="1" x14ac:dyDescent="0.3">
      <c r="B78" s="28" t="s">
        <v>23</v>
      </c>
      <c r="C78" s="28" t="s">
        <v>177</v>
      </c>
      <c r="D78" s="33">
        <v>50159797</v>
      </c>
      <c r="E78" s="33">
        <v>51363174</v>
      </c>
      <c r="F78" s="33">
        <v>120.34</v>
      </c>
      <c r="G78" s="5">
        <v>50210383</v>
      </c>
      <c r="H78" s="5">
        <v>50215334</v>
      </c>
      <c r="I78" s="5">
        <v>4952</v>
      </c>
      <c r="J78" s="5" t="s">
        <v>138</v>
      </c>
      <c r="K78" s="5" t="s">
        <v>504</v>
      </c>
      <c r="L78" s="5" t="s">
        <v>504</v>
      </c>
      <c r="M78" s="5" t="s">
        <v>505</v>
      </c>
    </row>
    <row r="79" spans="1:13" x14ac:dyDescent="0.3">
      <c r="B79" s="28"/>
      <c r="C79" s="28"/>
      <c r="D79" s="33"/>
      <c r="E79" s="33"/>
      <c r="F79" s="33"/>
      <c r="G79" s="5">
        <v>50215236</v>
      </c>
      <c r="H79" s="5">
        <v>50217333</v>
      </c>
      <c r="I79" s="5">
        <v>2098</v>
      </c>
      <c r="J79" s="5" t="s">
        <v>131</v>
      </c>
      <c r="K79" s="5" t="s">
        <v>506</v>
      </c>
      <c r="L79" s="5" t="s">
        <v>506</v>
      </c>
      <c r="M79" s="5" t="s">
        <v>507</v>
      </c>
    </row>
    <row r="80" spans="1:13" x14ac:dyDescent="0.3">
      <c r="B80" s="28"/>
      <c r="C80" s="28"/>
      <c r="D80" s="33"/>
      <c r="E80" s="33"/>
      <c r="F80" s="33"/>
      <c r="G80" s="5">
        <v>50329204</v>
      </c>
      <c r="H80" s="5">
        <v>50330186</v>
      </c>
      <c r="I80" s="5">
        <v>983</v>
      </c>
      <c r="J80" s="5" t="s">
        <v>138</v>
      </c>
      <c r="K80" s="5" t="s">
        <v>508</v>
      </c>
      <c r="L80" s="5" t="s">
        <v>508</v>
      </c>
      <c r="M80" s="5" t="s">
        <v>150</v>
      </c>
    </row>
    <row r="81" spans="1:13" x14ac:dyDescent="0.3">
      <c r="B81" s="28"/>
      <c r="C81" s="28"/>
      <c r="D81" s="33"/>
      <c r="E81" s="33"/>
      <c r="F81" s="33"/>
      <c r="G81" s="5">
        <v>50406439</v>
      </c>
      <c r="H81" s="5">
        <v>50408791</v>
      </c>
      <c r="I81" s="5">
        <v>2353</v>
      </c>
      <c r="J81" s="5" t="s">
        <v>138</v>
      </c>
      <c r="K81" s="5" t="s">
        <v>509</v>
      </c>
      <c r="L81" s="5" t="s">
        <v>509</v>
      </c>
      <c r="M81" s="5" t="s">
        <v>150</v>
      </c>
    </row>
    <row r="82" spans="1:13" x14ac:dyDescent="0.3">
      <c r="B82" s="28"/>
      <c r="C82" s="28"/>
      <c r="D82" s="33"/>
      <c r="E82" s="33"/>
      <c r="F82" s="33"/>
      <c r="G82" s="5">
        <v>50772889</v>
      </c>
      <c r="H82" s="5">
        <v>50777535</v>
      </c>
      <c r="I82" s="5">
        <v>4647</v>
      </c>
      <c r="J82" s="5" t="s">
        <v>138</v>
      </c>
      <c r="K82" s="5" t="s">
        <v>510</v>
      </c>
      <c r="L82" s="5" t="s">
        <v>510</v>
      </c>
      <c r="M82" s="5" t="s">
        <v>505</v>
      </c>
    </row>
    <row r="83" spans="1:13" x14ac:dyDescent="0.3">
      <c r="B83" s="28"/>
      <c r="C83" s="28"/>
      <c r="D83" s="33"/>
      <c r="E83" s="33"/>
      <c r="F83" s="33"/>
      <c r="G83" s="5">
        <v>50777365</v>
      </c>
      <c r="H83" s="5">
        <v>50779365</v>
      </c>
      <c r="I83" s="5">
        <v>2001</v>
      </c>
      <c r="J83" s="5" t="s">
        <v>131</v>
      </c>
      <c r="K83" s="5" t="s">
        <v>511</v>
      </c>
      <c r="L83" s="5" t="s">
        <v>511</v>
      </c>
      <c r="M83" s="5" t="s">
        <v>507</v>
      </c>
    </row>
    <row r="84" spans="1:13" x14ac:dyDescent="0.3">
      <c r="B84" s="28"/>
      <c r="C84" s="28"/>
      <c r="D84" s="33"/>
      <c r="E84" s="33"/>
      <c r="F84" s="33"/>
      <c r="G84" s="5">
        <v>50897796</v>
      </c>
      <c r="H84" s="5">
        <v>50899184</v>
      </c>
      <c r="I84" s="5">
        <v>1389</v>
      </c>
      <c r="J84" s="5" t="s">
        <v>131</v>
      </c>
      <c r="K84" s="5" t="s">
        <v>512</v>
      </c>
      <c r="L84" s="5" t="s">
        <v>512</v>
      </c>
      <c r="M84" s="5" t="s">
        <v>507</v>
      </c>
    </row>
    <row r="85" spans="1:13" x14ac:dyDescent="0.3">
      <c r="B85" s="28"/>
      <c r="C85" s="28"/>
      <c r="D85" s="33"/>
      <c r="E85" s="33"/>
      <c r="F85" s="33"/>
      <c r="G85" s="5">
        <v>50909753</v>
      </c>
      <c r="H85" s="5">
        <v>50916381</v>
      </c>
      <c r="I85" s="5">
        <v>6629</v>
      </c>
      <c r="J85" s="5" t="s">
        <v>131</v>
      </c>
      <c r="K85" s="5" t="s">
        <v>513</v>
      </c>
      <c r="L85" s="5" t="s">
        <v>513</v>
      </c>
      <c r="M85" s="5" t="s">
        <v>514</v>
      </c>
    </row>
    <row r="86" spans="1:13" x14ac:dyDescent="0.3">
      <c r="B86" s="28"/>
      <c r="C86" s="28"/>
      <c r="D86" s="33"/>
      <c r="E86" s="33"/>
      <c r="F86" s="33"/>
      <c r="G86" s="5">
        <v>50962221</v>
      </c>
      <c r="H86" s="5">
        <v>50963146</v>
      </c>
      <c r="I86" s="5">
        <v>926</v>
      </c>
      <c r="J86" s="5" t="s">
        <v>131</v>
      </c>
      <c r="K86" s="5" t="s">
        <v>515</v>
      </c>
      <c r="L86" s="5" t="s">
        <v>515</v>
      </c>
      <c r="M86" s="5" t="s">
        <v>153</v>
      </c>
    </row>
    <row r="87" spans="1:13" x14ac:dyDescent="0.3">
      <c r="B87" s="28"/>
      <c r="C87" s="28"/>
      <c r="D87" s="33"/>
      <c r="E87" s="33"/>
      <c r="F87" s="33"/>
      <c r="G87" s="5">
        <v>51011047</v>
      </c>
      <c r="H87" s="5">
        <v>51013044</v>
      </c>
      <c r="I87" s="5">
        <v>1998</v>
      </c>
      <c r="J87" s="5" t="s">
        <v>131</v>
      </c>
      <c r="K87" s="5" t="s">
        <v>516</v>
      </c>
      <c r="L87" s="5" t="s">
        <v>516</v>
      </c>
      <c r="M87" s="5" t="s">
        <v>190</v>
      </c>
    </row>
    <row r="88" spans="1:13" x14ac:dyDescent="0.3">
      <c r="B88" s="28"/>
      <c r="C88" s="28"/>
      <c r="D88" s="33"/>
      <c r="E88" s="33"/>
      <c r="F88" s="33"/>
      <c r="G88" s="5">
        <v>51017333</v>
      </c>
      <c r="H88" s="5">
        <v>51018686</v>
      </c>
      <c r="I88" s="5">
        <v>1354</v>
      </c>
      <c r="J88" s="5" t="s">
        <v>131</v>
      </c>
      <c r="K88" s="5" t="s">
        <v>517</v>
      </c>
      <c r="L88" s="5" t="s">
        <v>517</v>
      </c>
      <c r="M88" s="5" t="s">
        <v>514</v>
      </c>
    </row>
    <row r="89" spans="1:13" x14ac:dyDescent="0.3">
      <c r="B89" s="28"/>
      <c r="C89" s="28"/>
      <c r="D89" s="33"/>
      <c r="E89" s="33"/>
      <c r="F89" s="33"/>
      <c r="G89" s="5">
        <v>51023178</v>
      </c>
      <c r="H89" s="5">
        <v>51023881</v>
      </c>
      <c r="I89" s="5">
        <v>704</v>
      </c>
      <c r="J89" s="5" t="s">
        <v>138</v>
      </c>
      <c r="K89" s="5" t="s">
        <v>518</v>
      </c>
      <c r="L89" s="5" t="s">
        <v>518</v>
      </c>
      <c r="M89" s="5" t="s">
        <v>150</v>
      </c>
    </row>
    <row r="90" spans="1:13" x14ac:dyDescent="0.3">
      <c r="B90" s="28"/>
      <c r="C90" s="28"/>
      <c r="D90" s="33"/>
      <c r="E90" s="33"/>
      <c r="F90" s="33"/>
      <c r="G90" s="5">
        <v>51037625</v>
      </c>
      <c r="H90" s="5">
        <v>51046213</v>
      </c>
      <c r="I90" s="5">
        <v>8589</v>
      </c>
      <c r="J90" s="5" t="s">
        <v>138</v>
      </c>
      <c r="K90" s="5" t="s">
        <v>519</v>
      </c>
      <c r="L90" s="5" t="s">
        <v>519</v>
      </c>
      <c r="M90" s="5" t="s">
        <v>520</v>
      </c>
    </row>
    <row r="91" spans="1:13" x14ac:dyDescent="0.3">
      <c r="B91" s="28"/>
      <c r="C91" s="28"/>
      <c r="D91" s="33"/>
      <c r="E91" s="33"/>
      <c r="F91" s="33"/>
      <c r="G91" s="5">
        <v>51076092</v>
      </c>
      <c r="H91" s="5">
        <v>51090863</v>
      </c>
      <c r="I91" s="5">
        <v>14772</v>
      </c>
      <c r="J91" s="5" t="s">
        <v>131</v>
      </c>
      <c r="K91" s="5" t="s">
        <v>521</v>
      </c>
      <c r="L91" s="5" t="s">
        <v>521</v>
      </c>
      <c r="M91" s="5" t="s">
        <v>190</v>
      </c>
    </row>
    <row r="92" spans="1:13" x14ac:dyDescent="0.3">
      <c r="B92" s="28"/>
      <c r="C92" s="28"/>
      <c r="D92" s="33"/>
      <c r="E92" s="33"/>
      <c r="F92" s="33"/>
      <c r="G92" s="5">
        <v>51339549</v>
      </c>
      <c r="H92" s="5">
        <v>51341525</v>
      </c>
      <c r="I92" s="5">
        <v>1977</v>
      </c>
      <c r="J92" s="5" t="s">
        <v>138</v>
      </c>
      <c r="K92" s="5" t="s">
        <v>522</v>
      </c>
      <c r="L92" s="5" t="s">
        <v>522</v>
      </c>
      <c r="M92" s="5" t="s">
        <v>523</v>
      </c>
    </row>
    <row r="93" spans="1:13" x14ac:dyDescent="0.3">
      <c r="B93" s="28"/>
      <c r="C93" s="28"/>
      <c r="D93" s="33"/>
      <c r="E93" s="33"/>
      <c r="F93" s="33"/>
      <c r="G93" s="5">
        <v>51341611</v>
      </c>
      <c r="H93" s="5">
        <v>51343742</v>
      </c>
      <c r="I93" s="5">
        <v>2132</v>
      </c>
      <c r="J93" s="5" t="s">
        <v>138</v>
      </c>
      <c r="K93" s="5" t="s">
        <v>524</v>
      </c>
      <c r="L93" s="5" t="s">
        <v>524</v>
      </c>
      <c r="M93" s="5" t="s">
        <v>525</v>
      </c>
    </row>
    <row r="94" spans="1:13" s="26" customFormat="1" ht="18.600000000000001" x14ac:dyDescent="0.3">
      <c r="A94" s="26" t="s">
        <v>24</v>
      </c>
    </row>
    <row r="95" spans="1:13" ht="16.8" x14ac:dyDescent="0.3">
      <c r="A95" s="6" t="s">
        <v>125</v>
      </c>
    </row>
    <row r="96" spans="1:13" x14ac:dyDescent="0.3">
      <c r="B96" s="5" t="s">
        <v>25</v>
      </c>
      <c r="C96" s="5" t="s">
        <v>228</v>
      </c>
    </row>
    <row r="97" spans="1:13" x14ac:dyDescent="0.3">
      <c r="B97" s="5" t="s">
        <v>26</v>
      </c>
      <c r="C97" s="5" t="s">
        <v>265</v>
      </c>
      <c r="D97" s="12">
        <v>125613467</v>
      </c>
      <c r="E97" s="12">
        <v>125738215</v>
      </c>
      <c r="F97" s="9">
        <f>(E97-D97)/1000</f>
        <v>124.748</v>
      </c>
      <c r="G97" s="5">
        <v>125670267</v>
      </c>
      <c r="H97" s="5">
        <v>125670861</v>
      </c>
      <c r="I97" s="5">
        <v>595</v>
      </c>
      <c r="J97" s="5" t="s">
        <v>131</v>
      </c>
      <c r="K97" s="5" t="s">
        <v>267</v>
      </c>
      <c r="L97" s="5" t="s">
        <v>267</v>
      </c>
      <c r="M97" s="5" t="s">
        <v>268</v>
      </c>
    </row>
    <row r="98" spans="1:13" x14ac:dyDescent="0.3">
      <c r="B98" s="5" t="s">
        <v>27</v>
      </c>
      <c r="C98" s="5" t="s">
        <v>228</v>
      </c>
      <c r="D98" s="8"/>
      <c r="E98" s="8"/>
      <c r="F98" s="8"/>
    </row>
    <row r="99" spans="1:13" x14ac:dyDescent="0.3">
      <c r="B99" s="5" t="s">
        <v>28</v>
      </c>
      <c r="C99" s="5" t="s">
        <v>228</v>
      </c>
      <c r="D99" s="9"/>
      <c r="E99" s="9"/>
      <c r="F99" s="9"/>
      <c r="G99" s="5">
        <v>208932499</v>
      </c>
      <c r="H99" s="5">
        <v>208933541</v>
      </c>
      <c r="I99" s="5">
        <v>1043</v>
      </c>
      <c r="J99" s="5" t="s">
        <v>138</v>
      </c>
      <c r="K99" s="5" t="s">
        <v>528</v>
      </c>
      <c r="L99" s="5" t="s">
        <v>528</v>
      </c>
      <c r="M99" s="5" t="s">
        <v>529</v>
      </c>
    </row>
    <row r="100" spans="1:13" x14ac:dyDescent="0.3">
      <c r="B100" s="5" t="s">
        <v>29</v>
      </c>
      <c r="C100" s="5" t="s">
        <v>228</v>
      </c>
    </row>
    <row r="101" spans="1:13" x14ac:dyDescent="0.3">
      <c r="B101" s="5" t="s">
        <v>30</v>
      </c>
      <c r="C101" s="5" t="s">
        <v>228</v>
      </c>
    </row>
    <row r="102" spans="1:13" x14ac:dyDescent="0.3">
      <c r="B102" s="5" t="s">
        <v>31</v>
      </c>
      <c r="C102" s="5" t="s">
        <v>228</v>
      </c>
    </row>
    <row r="103" spans="1:13" x14ac:dyDescent="0.3">
      <c r="B103" s="5" t="s">
        <v>32</v>
      </c>
      <c r="C103" s="5" t="s">
        <v>228</v>
      </c>
    </row>
    <row r="104" spans="1:13" x14ac:dyDescent="0.3">
      <c r="B104" s="5" t="s">
        <v>33</v>
      </c>
      <c r="C104" s="5" t="s">
        <v>228</v>
      </c>
      <c r="D104" s="11"/>
      <c r="E104" s="11"/>
      <c r="F104" s="11"/>
    </row>
    <row r="105" spans="1:13" x14ac:dyDescent="0.3">
      <c r="B105" s="5" t="s">
        <v>34</v>
      </c>
      <c r="C105" s="5" t="s">
        <v>177</v>
      </c>
      <c r="D105" s="8">
        <v>208810700</v>
      </c>
      <c r="E105" s="8">
        <v>208942514</v>
      </c>
      <c r="F105" s="8">
        <v>131.80000000000001</v>
      </c>
      <c r="G105" s="9">
        <v>208932499</v>
      </c>
      <c r="H105" s="5">
        <v>208933541</v>
      </c>
      <c r="I105" s="5">
        <v>1043</v>
      </c>
      <c r="J105" s="5" t="s">
        <v>138</v>
      </c>
      <c r="K105" s="5" t="s">
        <v>528</v>
      </c>
      <c r="L105" s="5" t="s">
        <v>528</v>
      </c>
      <c r="M105" s="5" t="s">
        <v>529</v>
      </c>
    </row>
    <row r="106" spans="1:13" ht="16.8" x14ac:dyDescent="0.3">
      <c r="A106" s="6" t="s">
        <v>126</v>
      </c>
    </row>
    <row r="107" spans="1:13" x14ac:dyDescent="0.3">
      <c r="B107" s="27" t="s">
        <v>35</v>
      </c>
      <c r="C107" s="28" t="s">
        <v>130</v>
      </c>
      <c r="D107" s="5">
        <v>302072243</v>
      </c>
      <c r="E107" s="5">
        <v>302226293</v>
      </c>
      <c r="F107" s="5">
        <f>(E107-D107)/1000</f>
        <v>154.05000000000001</v>
      </c>
      <c r="G107" s="5">
        <v>302216778</v>
      </c>
      <c r="H107" s="5">
        <v>302219709</v>
      </c>
      <c r="I107" s="5">
        <v>2932</v>
      </c>
      <c r="J107" s="5" t="s">
        <v>131</v>
      </c>
      <c r="K107" s="5" t="s">
        <v>132</v>
      </c>
      <c r="L107" s="5" t="s">
        <v>132</v>
      </c>
      <c r="M107" s="5" t="s">
        <v>133</v>
      </c>
    </row>
    <row r="108" spans="1:13" x14ac:dyDescent="0.3">
      <c r="B108" s="27"/>
      <c r="C108" s="28"/>
      <c r="G108" s="5">
        <v>302221220</v>
      </c>
      <c r="H108" s="5">
        <v>302224731</v>
      </c>
      <c r="I108" s="5">
        <v>3512</v>
      </c>
      <c r="J108" s="5" t="s">
        <v>131</v>
      </c>
      <c r="K108" s="13" t="s">
        <v>134</v>
      </c>
      <c r="L108" s="13" t="s">
        <v>134</v>
      </c>
      <c r="M108" s="5" t="s">
        <v>135</v>
      </c>
    </row>
    <row r="109" spans="1:13" x14ac:dyDescent="0.3">
      <c r="B109" s="27" t="s">
        <v>36</v>
      </c>
      <c r="C109" s="28" t="s">
        <v>130</v>
      </c>
      <c r="D109" s="28">
        <v>329068714</v>
      </c>
      <c r="E109" s="28">
        <v>329150953</v>
      </c>
      <c r="F109" s="28">
        <f>(E109-D109)/1000</f>
        <v>82.239000000000004</v>
      </c>
      <c r="G109" s="5">
        <v>329089732</v>
      </c>
      <c r="H109" s="5">
        <v>329090549</v>
      </c>
      <c r="I109" s="5">
        <v>818</v>
      </c>
      <c r="J109" s="5" t="s">
        <v>138</v>
      </c>
      <c r="K109" s="5" t="s">
        <v>152</v>
      </c>
      <c r="L109" s="5" t="s">
        <v>152</v>
      </c>
    </row>
    <row r="110" spans="1:13" x14ac:dyDescent="0.3">
      <c r="B110" s="27"/>
      <c r="C110" s="28"/>
      <c r="D110" s="28"/>
      <c r="E110" s="28"/>
      <c r="F110" s="28"/>
      <c r="G110" s="5">
        <v>329098330</v>
      </c>
      <c r="H110" s="5">
        <v>329099809</v>
      </c>
      <c r="I110" s="5">
        <v>1480</v>
      </c>
      <c r="J110" s="5" t="s">
        <v>138</v>
      </c>
      <c r="K110" s="5" t="s">
        <v>154</v>
      </c>
      <c r="L110" s="5" t="s">
        <v>154</v>
      </c>
    </row>
    <row r="111" spans="1:13" x14ac:dyDescent="0.3">
      <c r="B111" s="27"/>
      <c r="C111" s="28"/>
      <c r="D111" s="28"/>
      <c r="E111" s="28"/>
      <c r="F111" s="28"/>
      <c r="G111" s="5">
        <v>329111265</v>
      </c>
      <c r="H111" s="5">
        <v>329113430</v>
      </c>
      <c r="I111" s="5">
        <v>2166</v>
      </c>
      <c r="J111" s="5" t="s">
        <v>138</v>
      </c>
      <c r="K111" s="5" t="s">
        <v>156</v>
      </c>
      <c r="L111" s="5" t="s">
        <v>156</v>
      </c>
    </row>
    <row r="112" spans="1:13" x14ac:dyDescent="0.3">
      <c r="B112" s="27"/>
      <c r="C112" s="28"/>
      <c r="D112" s="28"/>
      <c r="E112" s="28"/>
      <c r="F112" s="28"/>
      <c r="G112" s="5">
        <v>329125406</v>
      </c>
      <c r="H112" s="5">
        <v>329128135</v>
      </c>
      <c r="I112" s="5">
        <v>2730</v>
      </c>
      <c r="J112" s="5" t="s">
        <v>131</v>
      </c>
      <c r="K112" s="5" t="s">
        <v>157</v>
      </c>
      <c r="L112" s="5" t="s">
        <v>157</v>
      </c>
    </row>
    <row r="113" spans="2:13" x14ac:dyDescent="0.3">
      <c r="B113" s="27"/>
      <c r="C113" s="28"/>
      <c r="D113" s="28"/>
      <c r="E113" s="28"/>
      <c r="F113" s="28"/>
      <c r="G113" s="5">
        <v>329129927</v>
      </c>
      <c r="H113" s="5">
        <v>329130775</v>
      </c>
      <c r="I113" s="5">
        <v>849</v>
      </c>
      <c r="J113" s="5" t="s">
        <v>138</v>
      </c>
      <c r="K113" s="5" t="s">
        <v>159</v>
      </c>
      <c r="L113" s="5" t="s">
        <v>159</v>
      </c>
    </row>
    <row r="114" spans="2:13" x14ac:dyDescent="0.3">
      <c r="B114" s="27"/>
      <c r="C114" s="28"/>
      <c r="D114" s="28"/>
      <c r="E114" s="28"/>
      <c r="F114" s="28"/>
      <c r="G114" s="5">
        <v>329139953</v>
      </c>
      <c r="H114" s="5">
        <v>329142610</v>
      </c>
      <c r="I114" s="5">
        <v>2658</v>
      </c>
      <c r="J114" s="5" t="s">
        <v>138</v>
      </c>
      <c r="K114" s="5" t="s">
        <v>160</v>
      </c>
      <c r="L114" s="5" t="s">
        <v>160</v>
      </c>
    </row>
    <row r="115" spans="2:13" x14ac:dyDescent="0.3">
      <c r="B115" s="27"/>
      <c r="C115" s="28"/>
      <c r="D115" s="28"/>
      <c r="E115" s="28"/>
      <c r="F115" s="28"/>
      <c r="G115" s="5">
        <v>329142605</v>
      </c>
      <c r="H115" s="5">
        <v>329145855</v>
      </c>
      <c r="I115" s="5">
        <v>3251</v>
      </c>
      <c r="J115" s="5" t="s">
        <v>131</v>
      </c>
      <c r="K115" s="5" t="s">
        <v>161</v>
      </c>
      <c r="L115" s="5" t="s">
        <v>161</v>
      </c>
    </row>
    <row r="116" spans="2:13" x14ac:dyDescent="0.3">
      <c r="B116" s="27"/>
      <c r="C116" s="28"/>
      <c r="D116" s="28"/>
      <c r="E116" s="28"/>
      <c r="F116" s="28"/>
      <c r="G116" s="5">
        <v>329148144</v>
      </c>
      <c r="H116" s="5">
        <v>329149003</v>
      </c>
      <c r="I116" s="5">
        <v>860</v>
      </c>
      <c r="J116" s="5" t="s">
        <v>131</v>
      </c>
      <c r="K116" s="5" t="s">
        <v>163</v>
      </c>
      <c r="L116" s="5" t="s">
        <v>163</v>
      </c>
    </row>
    <row r="117" spans="2:13" x14ac:dyDescent="0.3">
      <c r="B117" s="27"/>
      <c r="C117" s="28"/>
      <c r="D117" s="28"/>
      <c r="E117" s="28"/>
      <c r="F117" s="28"/>
      <c r="G117" s="5">
        <v>329149067</v>
      </c>
      <c r="H117" s="5">
        <v>329152474</v>
      </c>
      <c r="I117" s="5">
        <v>3408</v>
      </c>
      <c r="J117" s="5" t="s">
        <v>131</v>
      </c>
      <c r="K117" s="13" t="s">
        <v>164</v>
      </c>
      <c r="L117" s="13" t="s">
        <v>164</v>
      </c>
    </row>
    <row r="118" spans="2:13" x14ac:dyDescent="0.3">
      <c r="B118" s="28" t="s">
        <v>37</v>
      </c>
      <c r="C118" s="28" t="s">
        <v>205</v>
      </c>
      <c r="D118" s="28">
        <v>7819720</v>
      </c>
      <c r="E118" s="28">
        <v>7945308</v>
      </c>
      <c r="F118" s="28">
        <f>(E118-D118)/1000</f>
        <v>125.58799999999999</v>
      </c>
      <c r="G118" s="5">
        <v>7911058</v>
      </c>
      <c r="H118" s="5">
        <v>7912979</v>
      </c>
      <c r="I118" s="5">
        <v>1922</v>
      </c>
      <c r="J118" s="5" t="s">
        <v>138</v>
      </c>
      <c r="K118" s="5" t="s">
        <v>212</v>
      </c>
      <c r="L118" s="5" t="s">
        <v>212</v>
      </c>
      <c r="M118" s="5" t="s">
        <v>213</v>
      </c>
    </row>
    <row r="119" spans="2:13" x14ac:dyDescent="0.3">
      <c r="B119" s="28"/>
      <c r="C119" s="28"/>
      <c r="D119" s="28"/>
      <c r="E119" s="28"/>
      <c r="F119" s="28"/>
      <c r="G119" s="5">
        <v>7926032</v>
      </c>
      <c r="H119" s="5">
        <v>7927774</v>
      </c>
      <c r="I119" s="5">
        <v>1743</v>
      </c>
      <c r="J119" s="5" t="s">
        <v>138</v>
      </c>
      <c r="K119" s="5" t="s">
        <v>214</v>
      </c>
      <c r="L119" s="5" t="s">
        <v>214</v>
      </c>
      <c r="M119" s="5" t="s">
        <v>215</v>
      </c>
    </row>
    <row r="120" spans="2:13" x14ac:dyDescent="0.3">
      <c r="B120" s="28"/>
      <c r="C120" s="28"/>
      <c r="D120" s="28"/>
      <c r="E120" s="28"/>
      <c r="F120" s="28"/>
      <c r="G120" s="5">
        <v>7934064</v>
      </c>
      <c r="H120" s="5">
        <v>7939728</v>
      </c>
      <c r="I120" s="5">
        <v>5665</v>
      </c>
      <c r="J120" s="5" t="s">
        <v>138</v>
      </c>
      <c r="K120" s="5" t="s">
        <v>216</v>
      </c>
      <c r="L120" s="5" t="s">
        <v>216</v>
      </c>
      <c r="M120" s="5" t="s">
        <v>217</v>
      </c>
    </row>
    <row r="121" spans="2:13" x14ac:dyDescent="0.3">
      <c r="B121" s="28"/>
      <c r="C121" s="28"/>
      <c r="D121" s="28"/>
      <c r="E121" s="28"/>
      <c r="F121" s="28"/>
      <c r="G121" s="5">
        <v>7940741</v>
      </c>
      <c r="H121" s="5">
        <v>7944275</v>
      </c>
      <c r="I121" s="5">
        <v>3535</v>
      </c>
      <c r="J121" s="5" t="s">
        <v>138</v>
      </c>
      <c r="K121" s="5" t="s">
        <v>218</v>
      </c>
      <c r="L121" s="5" t="s">
        <v>218</v>
      </c>
      <c r="M121" s="5" t="s">
        <v>219</v>
      </c>
    </row>
    <row r="122" spans="2:13" x14ac:dyDescent="0.3">
      <c r="B122" s="5" t="s">
        <v>38</v>
      </c>
      <c r="C122" s="5" t="s">
        <v>205</v>
      </c>
      <c r="D122" s="5">
        <v>404876288</v>
      </c>
      <c r="E122" s="5">
        <v>404985242</v>
      </c>
      <c r="F122" s="5">
        <f>(E122-D122)/1000</f>
        <v>108.95399999999999</v>
      </c>
      <c r="G122" s="5">
        <v>404968180</v>
      </c>
      <c r="H122" s="5">
        <v>404971243</v>
      </c>
      <c r="I122" s="5">
        <v>3064</v>
      </c>
      <c r="J122" s="5" t="s">
        <v>138</v>
      </c>
      <c r="K122" s="5" t="s">
        <v>311</v>
      </c>
      <c r="L122" s="5" t="s">
        <v>311</v>
      </c>
      <c r="M122" s="5" t="s">
        <v>217</v>
      </c>
    </row>
    <row r="123" spans="2:13" x14ac:dyDescent="0.3">
      <c r="B123" s="28" t="s">
        <v>39</v>
      </c>
      <c r="C123" s="28" t="s">
        <v>265</v>
      </c>
      <c r="D123" s="39">
        <v>469339347</v>
      </c>
      <c r="E123" s="39">
        <v>469397424</v>
      </c>
      <c r="F123" s="28">
        <f>(E123-D123)/1000</f>
        <v>58.076999999999998</v>
      </c>
      <c r="G123" s="5">
        <v>469353562</v>
      </c>
      <c r="H123" s="5">
        <v>469355106</v>
      </c>
      <c r="I123" s="5">
        <v>1545</v>
      </c>
      <c r="J123" s="5" t="s">
        <v>138</v>
      </c>
      <c r="K123" s="5" t="s">
        <v>269</v>
      </c>
      <c r="L123" s="5" t="s">
        <v>269</v>
      </c>
      <c r="M123" s="5" t="s">
        <v>158</v>
      </c>
    </row>
    <row r="124" spans="2:13" x14ac:dyDescent="0.3">
      <c r="B124" s="28"/>
      <c r="C124" s="28"/>
      <c r="D124" s="39"/>
      <c r="E124" s="39"/>
      <c r="F124" s="28"/>
      <c r="G124" s="5">
        <v>469355277</v>
      </c>
      <c r="H124" s="5">
        <v>469356299</v>
      </c>
      <c r="I124" s="5">
        <v>1023</v>
      </c>
      <c r="J124" s="5" t="s">
        <v>138</v>
      </c>
      <c r="K124" s="5" t="s">
        <v>270</v>
      </c>
      <c r="L124" s="5" t="s">
        <v>270</v>
      </c>
      <c r="M124" s="5" t="s">
        <v>155</v>
      </c>
    </row>
    <row r="125" spans="2:13" ht="14.4" customHeight="1" x14ac:dyDescent="0.3">
      <c r="B125" s="27" t="s">
        <v>40</v>
      </c>
      <c r="C125" s="28" t="s">
        <v>367</v>
      </c>
      <c r="D125" s="39">
        <v>2406881</v>
      </c>
      <c r="E125" s="39">
        <v>2480851</v>
      </c>
      <c r="F125" s="39">
        <v>73.97</v>
      </c>
      <c r="G125" s="5">
        <v>2408078</v>
      </c>
      <c r="H125" s="5">
        <v>2416336</v>
      </c>
      <c r="I125" s="5">
        <v>8259</v>
      </c>
      <c r="J125" s="5" t="s">
        <v>138</v>
      </c>
      <c r="K125" s="13" t="s">
        <v>368</v>
      </c>
      <c r="L125" s="13" t="s">
        <v>368</v>
      </c>
      <c r="M125" s="5" t="s">
        <v>369</v>
      </c>
    </row>
    <row r="126" spans="2:13" x14ac:dyDescent="0.3">
      <c r="B126" s="27"/>
      <c r="C126" s="28"/>
      <c r="D126" s="39"/>
      <c r="E126" s="39"/>
      <c r="F126" s="39"/>
      <c r="G126" s="5">
        <v>2419894</v>
      </c>
      <c r="H126" s="5">
        <v>2422652</v>
      </c>
      <c r="I126" s="5">
        <v>2759</v>
      </c>
      <c r="J126" s="5" t="s">
        <v>138</v>
      </c>
      <c r="K126" s="5" t="s">
        <v>370</v>
      </c>
      <c r="L126" s="5" t="s">
        <v>370</v>
      </c>
      <c r="M126" s="5" t="s">
        <v>371</v>
      </c>
    </row>
    <row r="127" spans="2:13" x14ac:dyDescent="0.3">
      <c r="B127" s="27"/>
      <c r="C127" s="28"/>
      <c r="D127" s="39"/>
      <c r="E127" s="39"/>
      <c r="F127" s="39"/>
      <c r="G127" s="5">
        <v>2422771</v>
      </c>
      <c r="H127" s="5">
        <v>2423210</v>
      </c>
      <c r="I127" s="5">
        <v>440</v>
      </c>
      <c r="J127" s="5" t="s">
        <v>131</v>
      </c>
      <c r="K127" s="5" t="s">
        <v>372</v>
      </c>
      <c r="L127" s="5" t="s">
        <v>372</v>
      </c>
      <c r="M127" s="5" t="s">
        <v>373</v>
      </c>
    </row>
    <row r="128" spans="2:13" x14ac:dyDescent="0.3">
      <c r="B128" s="27"/>
      <c r="C128" s="28"/>
      <c r="D128" s="39"/>
      <c r="E128" s="39"/>
      <c r="F128" s="39"/>
      <c r="G128" s="5">
        <v>2428761</v>
      </c>
      <c r="H128" s="5">
        <v>2429264</v>
      </c>
      <c r="I128" s="5">
        <v>504</v>
      </c>
      <c r="J128" s="5" t="s">
        <v>138</v>
      </c>
      <c r="K128" s="5" t="s">
        <v>374</v>
      </c>
      <c r="L128" s="5" t="s">
        <v>374</v>
      </c>
      <c r="M128" s="5" t="s">
        <v>375</v>
      </c>
    </row>
    <row r="129" spans="2:13" x14ac:dyDescent="0.3">
      <c r="B129" s="27"/>
      <c r="C129" s="28"/>
      <c r="D129" s="39"/>
      <c r="E129" s="39"/>
      <c r="F129" s="39"/>
      <c r="G129" s="5">
        <v>2429804</v>
      </c>
      <c r="H129" s="5">
        <v>2431796</v>
      </c>
      <c r="I129" s="5">
        <v>1993</v>
      </c>
      <c r="J129" s="5" t="s">
        <v>131</v>
      </c>
      <c r="K129" s="5" t="s">
        <v>376</v>
      </c>
      <c r="L129" s="5" t="s">
        <v>376</v>
      </c>
      <c r="M129" s="5" t="s">
        <v>377</v>
      </c>
    </row>
    <row r="130" spans="2:13" x14ac:dyDescent="0.3">
      <c r="B130" s="27"/>
      <c r="C130" s="28"/>
      <c r="D130" s="39"/>
      <c r="E130" s="39"/>
      <c r="F130" s="39"/>
      <c r="G130" s="5">
        <v>2432061</v>
      </c>
      <c r="H130" s="5">
        <v>2432401</v>
      </c>
      <c r="I130" s="5">
        <v>341</v>
      </c>
      <c r="J130" s="5" t="s">
        <v>131</v>
      </c>
      <c r="K130" s="5" t="s">
        <v>378</v>
      </c>
      <c r="L130" s="5" t="s">
        <v>378</v>
      </c>
      <c r="M130" s="5" t="s">
        <v>379</v>
      </c>
    </row>
    <row r="131" spans="2:13" x14ac:dyDescent="0.3">
      <c r="B131" s="27"/>
      <c r="C131" s="28"/>
      <c r="D131" s="39"/>
      <c r="E131" s="39"/>
      <c r="F131" s="39"/>
      <c r="G131" s="5">
        <v>2443633</v>
      </c>
      <c r="H131" s="5">
        <v>2444229</v>
      </c>
      <c r="I131" s="5">
        <v>597</v>
      </c>
      <c r="J131" s="5" t="s">
        <v>131</v>
      </c>
      <c r="K131" s="5" t="s">
        <v>380</v>
      </c>
      <c r="L131" s="5" t="s">
        <v>380</v>
      </c>
      <c r="M131" s="5" t="s">
        <v>381</v>
      </c>
    </row>
    <row r="132" spans="2:13" x14ac:dyDescent="0.3">
      <c r="B132" s="27"/>
      <c r="C132" s="28"/>
      <c r="D132" s="39"/>
      <c r="E132" s="39"/>
      <c r="F132" s="39"/>
      <c r="G132" s="5">
        <v>2444836</v>
      </c>
      <c r="H132" s="5">
        <v>2447037</v>
      </c>
      <c r="I132" s="5">
        <v>2202</v>
      </c>
      <c r="J132" s="5" t="s">
        <v>131</v>
      </c>
      <c r="K132" s="5" t="s">
        <v>382</v>
      </c>
      <c r="L132" s="5" t="s">
        <v>382</v>
      </c>
      <c r="M132" s="5" t="s">
        <v>383</v>
      </c>
    </row>
    <row r="133" spans="2:13" x14ac:dyDescent="0.3">
      <c r="B133" s="27"/>
      <c r="C133" s="28"/>
      <c r="D133" s="39"/>
      <c r="E133" s="39"/>
      <c r="F133" s="39"/>
      <c r="G133" s="5">
        <v>2448230</v>
      </c>
      <c r="H133" s="5">
        <v>2453132</v>
      </c>
      <c r="I133" s="5">
        <v>4903</v>
      </c>
      <c r="J133" s="5" t="s">
        <v>131</v>
      </c>
      <c r="K133" s="5" t="s">
        <v>384</v>
      </c>
      <c r="L133" s="5" t="s">
        <v>384</v>
      </c>
      <c r="M133" s="5" t="s">
        <v>385</v>
      </c>
    </row>
    <row r="134" spans="2:13" x14ac:dyDescent="0.3">
      <c r="B134" s="27"/>
      <c r="C134" s="28"/>
      <c r="D134" s="39"/>
      <c r="E134" s="39"/>
      <c r="F134" s="39"/>
      <c r="G134" s="5">
        <v>2454483</v>
      </c>
      <c r="H134" s="5">
        <v>2456276</v>
      </c>
      <c r="I134" s="5">
        <v>1794</v>
      </c>
      <c r="J134" s="5" t="s">
        <v>131</v>
      </c>
      <c r="K134" s="5" t="s">
        <v>386</v>
      </c>
      <c r="L134" s="5" t="s">
        <v>386</v>
      </c>
      <c r="M134" s="5" t="s">
        <v>150</v>
      </c>
    </row>
    <row r="135" spans="2:13" x14ac:dyDescent="0.3">
      <c r="B135" s="27"/>
      <c r="C135" s="28"/>
      <c r="D135" s="39"/>
      <c r="E135" s="39"/>
      <c r="F135" s="39"/>
      <c r="G135" s="5">
        <v>2459355</v>
      </c>
      <c r="H135" s="5">
        <v>2461692</v>
      </c>
      <c r="I135" s="5">
        <v>2338</v>
      </c>
      <c r="J135" s="5" t="s">
        <v>131</v>
      </c>
      <c r="K135" s="5" t="s">
        <v>387</v>
      </c>
      <c r="L135" s="5" t="s">
        <v>387</v>
      </c>
      <c r="M135" s="5" t="s">
        <v>388</v>
      </c>
    </row>
    <row r="136" spans="2:13" x14ac:dyDescent="0.3">
      <c r="B136" s="27"/>
      <c r="C136" s="28"/>
      <c r="D136" s="39"/>
      <c r="E136" s="39"/>
      <c r="F136" s="39"/>
      <c r="G136" s="5">
        <v>2465859</v>
      </c>
      <c r="H136" s="5">
        <v>2467887</v>
      </c>
      <c r="I136" s="5">
        <v>2029</v>
      </c>
      <c r="J136" s="5" t="s">
        <v>131</v>
      </c>
      <c r="K136" s="5" t="s">
        <v>389</v>
      </c>
      <c r="L136" s="5" t="s">
        <v>389</v>
      </c>
      <c r="M136" s="5" t="s">
        <v>381</v>
      </c>
    </row>
    <row r="137" spans="2:13" x14ac:dyDescent="0.3">
      <c r="B137" s="27"/>
      <c r="C137" s="28"/>
      <c r="D137" s="39"/>
      <c r="E137" s="39"/>
      <c r="F137" s="39"/>
      <c r="G137" s="5">
        <v>2476552</v>
      </c>
      <c r="H137" s="5">
        <v>2479999</v>
      </c>
      <c r="I137" s="5">
        <v>3448</v>
      </c>
      <c r="J137" s="5" t="s">
        <v>138</v>
      </c>
      <c r="K137" s="5" t="s">
        <v>390</v>
      </c>
      <c r="L137" s="5" t="s">
        <v>390</v>
      </c>
      <c r="M137" s="5" t="s">
        <v>391</v>
      </c>
    </row>
    <row r="138" spans="2:13" ht="14.4" customHeight="1" x14ac:dyDescent="0.3">
      <c r="B138" s="28" t="s">
        <v>41</v>
      </c>
      <c r="C138" s="28" t="s">
        <v>367</v>
      </c>
      <c r="D138" s="33">
        <v>458694578</v>
      </c>
      <c r="E138" s="33">
        <v>458883549</v>
      </c>
      <c r="F138" s="33">
        <v>188.97</v>
      </c>
      <c r="G138" s="5">
        <v>458707092</v>
      </c>
      <c r="H138" s="5">
        <v>458710137</v>
      </c>
      <c r="I138" s="5">
        <v>3046</v>
      </c>
      <c r="J138" s="5" t="s">
        <v>131</v>
      </c>
      <c r="K138" s="5" t="s">
        <v>428</v>
      </c>
      <c r="L138" s="5" t="s">
        <v>428</v>
      </c>
      <c r="M138" s="5" t="s">
        <v>219</v>
      </c>
    </row>
    <row r="139" spans="2:13" x14ac:dyDescent="0.3">
      <c r="B139" s="28"/>
      <c r="C139" s="28"/>
      <c r="D139" s="33"/>
      <c r="E139" s="33"/>
      <c r="F139" s="33"/>
      <c r="G139" s="5">
        <v>458778861</v>
      </c>
      <c r="H139" s="5">
        <v>458779577</v>
      </c>
      <c r="I139" s="5">
        <v>717</v>
      </c>
      <c r="J139" s="5" t="s">
        <v>138</v>
      </c>
      <c r="K139" s="5" t="s">
        <v>429</v>
      </c>
      <c r="L139" s="5" t="s">
        <v>429</v>
      </c>
      <c r="M139" s="5" t="s">
        <v>430</v>
      </c>
    </row>
    <row r="140" spans="2:13" x14ac:dyDescent="0.3">
      <c r="B140" s="28"/>
      <c r="C140" s="28"/>
      <c r="D140" s="33"/>
      <c r="E140" s="33"/>
      <c r="F140" s="33"/>
      <c r="G140" s="5">
        <v>458812939</v>
      </c>
      <c r="H140" s="5">
        <v>458819635</v>
      </c>
      <c r="I140" s="5">
        <v>6697</v>
      </c>
      <c r="J140" s="5" t="s">
        <v>131</v>
      </c>
      <c r="K140" s="5" t="s">
        <v>431</v>
      </c>
      <c r="L140" s="5" t="s">
        <v>431</v>
      </c>
      <c r="M140" s="5" t="s">
        <v>432</v>
      </c>
    </row>
    <row r="141" spans="2:13" x14ac:dyDescent="0.3">
      <c r="B141" s="28"/>
      <c r="C141" s="28"/>
      <c r="D141" s="33"/>
      <c r="E141" s="33"/>
      <c r="F141" s="33"/>
      <c r="G141" s="5">
        <v>458835092</v>
      </c>
      <c r="H141" s="5">
        <v>458835866</v>
      </c>
      <c r="I141" s="5">
        <v>775</v>
      </c>
      <c r="J141" s="5" t="s">
        <v>131</v>
      </c>
      <c r="K141" s="5" t="s">
        <v>433</v>
      </c>
      <c r="L141" s="5" t="s">
        <v>433</v>
      </c>
      <c r="M141" s="5" t="s">
        <v>434</v>
      </c>
    </row>
    <row r="142" spans="2:13" ht="14.4" customHeight="1" x14ac:dyDescent="0.3">
      <c r="B142" s="28" t="s">
        <v>42</v>
      </c>
      <c r="C142" s="28" t="s">
        <v>367</v>
      </c>
      <c r="D142" s="33">
        <v>470520416</v>
      </c>
      <c r="E142" s="33">
        <v>470592466</v>
      </c>
      <c r="F142" s="33">
        <v>72.099999999999994</v>
      </c>
      <c r="G142" s="5">
        <v>470532779</v>
      </c>
      <c r="H142" s="5">
        <v>470533571</v>
      </c>
      <c r="I142" s="5">
        <v>793</v>
      </c>
      <c r="J142" s="5" t="s">
        <v>131</v>
      </c>
      <c r="K142" s="5" t="s">
        <v>481</v>
      </c>
      <c r="L142" s="5" t="s">
        <v>481</v>
      </c>
      <c r="M142" s="5" t="s">
        <v>316</v>
      </c>
    </row>
    <row r="143" spans="2:13" x14ac:dyDescent="0.3">
      <c r="B143" s="28"/>
      <c r="C143" s="28"/>
      <c r="D143" s="33"/>
      <c r="E143" s="33"/>
      <c r="F143" s="33"/>
      <c r="G143" s="5">
        <v>470553804</v>
      </c>
      <c r="H143" s="5">
        <v>470560519</v>
      </c>
      <c r="I143" s="5">
        <v>6716</v>
      </c>
      <c r="J143" s="5" t="s">
        <v>138</v>
      </c>
      <c r="K143" s="5" t="s">
        <v>482</v>
      </c>
      <c r="L143" s="5" t="s">
        <v>482</v>
      </c>
      <c r="M143" s="5" t="s">
        <v>483</v>
      </c>
    </row>
    <row r="144" spans="2:13" x14ac:dyDescent="0.3">
      <c r="B144" s="28"/>
      <c r="C144" s="28"/>
      <c r="D144" s="33"/>
      <c r="E144" s="33"/>
      <c r="F144" s="33"/>
      <c r="G144" s="5">
        <v>470561015</v>
      </c>
      <c r="H144" s="5">
        <v>470564676</v>
      </c>
      <c r="I144" s="5">
        <v>3662</v>
      </c>
      <c r="J144" s="5" t="s">
        <v>138</v>
      </c>
      <c r="K144" s="5" t="s">
        <v>484</v>
      </c>
      <c r="L144" s="5" t="s">
        <v>484</v>
      </c>
      <c r="M144" s="5" t="s">
        <v>485</v>
      </c>
    </row>
    <row r="145" spans="1:13" x14ac:dyDescent="0.3">
      <c r="B145" s="28"/>
      <c r="C145" s="28"/>
      <c r="D145" s="33"/>
      <c r="E145" s="33"/>
      <c r="F145" s="33"/>
      <c r="G145" s="5">
        <v>470566774</v>
      </c>
      <c r="H145" s="5">
        <v>470576103</v>
      </c>
      <c r="I145" s="5">
        <v>9330</v>
      </c>
      <c r="J145" s="5" t="s">
        <v>131</v>
      </c>
      <c r="K145" s="5" t="s">
        <v>486</v>
      </c>
      <c r="L145" s="5" t="s">
        <v>486</v>
      </c>
      <c r="M145" s="5" t="s">
        <v>487</v>
      </c>
    </row>
    <row r="146" spans="1:13" x14ac:dyDescent="0.3">
      <c r="B146" s="28"/>
      <c r="C146" s="28"/>
      <c r="D146" s="33"/>
      <c r="E146" s="33"/>
      <c r="F146" s="33"/>
      <c r="G146" s="5">
        <v>470566951</v>
      </c>
      <c r="H146" s="5">
        <v>470567611</v>
      </c>
      <c r="I146" s="5">
        <v>661</v>
      </c>
      <c r="J146" s="5" t="s">
        <v>138</v>
      </c>
      <c r="K146" s="5" t="s">
        <v>488</v>
      </c>
      <c r="L146" s="5" t="s">
        <v>488</v>
      </c>
      <c r="M146" s="5" t="s">
        <v>489</v>
      </c>
    </row>
    <row r="147" spans="1:13" x14ac:dyDescent="0.3">
      <c r="B147" s="28"/>
      <c r="C147" s="28"/>
      <c r="D147" s="33"/>
      <c r="E147" s="33"/>
      <c r="F147" s="33"/>
      <c r="G147" s="5">
        <v>470585053</v>
      </c>
      <c r="H147" s="5">
        <v>470586398</v>
      </c>
      <c r="I147" s="5">
        <v>1346</v>
      </c>
      <c r="J147" s="5" t="s">
        <v>131</v>
      </c>
      <c r="K147" s="5" t="s">
        <v>490</v>
      </c>
      <c r="L147" s="5" t="s">
        <v>490</v>
      </c>
      <c r="M147" s="5" t="s">
        <v>150</v>
      </c>
    </row>
    <row r="148" spans="1:13" x14ac:dyDescent="0.3">
      <c r="B148" s="5" t="s">
        <v>9</v>
      </c>
      <c r="C148" s="5" t="s">
        <v>228</v>
      </c>
    </row>
    <row r="149" spans="1:13" ht="14.4" customHeight="1" x14ac:dyDescent="0.3">
      <c r="B149" s="28" t="s">
        <v>43</v>
      </c>
      <c r="C149" s="28" t="s">
        <v>312</v>
      </c>
      <c r="D149" s="28">
        <v>391321926</v>
      </c>
      <c r="E149" s="28">
        <v>391491620</v>
      </c>
      <c r="F149" s="28">
        <f>(E149-D149)/1000</f>
        <v>169.69399999999999</v>
      </c>
      <c r="G149" s="5">
        <v>391352385</v>
      </c>
      <c r="H149" s="5">
        <v>391353689</v>
      </c>
      <c r="I149" s="5">
        <v>1305</v>
      </c>
      <c r="J149" s="5" t="s">
        <v>138</v>
      </c>
      <c r="K149" s="5" t="s">
        <v>342</v>
      </c>
      <c r="L149" s="5" t="s">
        <v>342</v>
      </c>
      <c r="M149" s="5" t="s">
        <v>343</v>
      </c>
    </row>
    <row r="150" spans="1:13" x14ac:dyDescent="0.3">
      <c r="B150" s="28"/>
      <c r="C150" s="28"/>
      <c r="D150" s="28"/>
      <c r="E150" s="28"/>
      <c r="F150" s="28"/>
      <c r="G150" s="5">
        <v>391380509</v>
      </c>
      <c r="H150" s="5">
        <v>391386821</v>
      </c>
      <c r="I150" s="5">
        <v>6313</v>
      </c>
      <c r="J150" s="5" t="s">
        <v>131</v>
      </c>
      <c r="K150" s="5" t="s">
        <v>344</v>
      </c>
      <c r="L150" s="5" t="s">
        <v>344</v>
      </c>
      <c r="M150" s="5" t="s">
        <v>345</v>
      </c>
    </row>
    <row r="151" spans="1:13" x14ac:dyDescent="0.3">
      <c r="B151" s="28"/>
      <c r="C151" s="28"/>
      <c r="D151" s="28"/>
      <c r="E151" s="28"/>
      <c r="F151" s="28"/>
      <c r="G151" s="5">
        <v>391402603</v>
      </c>
      <c r="H151" s="5">
        <v>391407276</v>
      </c>
      <c r="I151" s="5">
        <v>4674</v>
      </c>
      <c r="J151" s="5" t="s">
        <v>131</v>
      </c>
      <c r="K151" s="5" t="s">
        <v>346</v>
      </c>
      <c r="L151" s="5" t="s">
        <v>346</v>
      </c>
      <c r="M151" s="5" t="s">
        <v>347</v>
      </c>
    </row>
    <row r="152" spans="1:13" x14ac:dyDescent="0.3">
      <c r="B152" s="28"/>
      <c r="C152" s="28"/>
      <c r="D152" s="28"/>
      <c r="E152" s="28"/>
      <c r="F152" s="28"/>
      <c r="G152" s="5">
        <v>391407140</v>
      </c>
      <c r="H152" s="5">
        <v>391410959</v>
      </c>
      <c r="I152" s="5">
        <v>3820</v>
      </c>
      <c r="J152" s="5" t="s">
        <v>138</v>
      </c>
      <c r="K152" s="5" t="s">
        <v>348</v>
      </c>
      <c r="L152" s="5" t="s">
        <v>348</v>
      </c>
      <c r="M152" s="5" t="s">
        <v>349</v>
      </c>
    </row>
    <row r="153" spans="1:13" x14ac:dyDescent="0.3">
      <c r="B153" s="28"/>
      <c r="C153" s="28"/>
      <c r="D153" s="28"/>
      <c r="E153" s="28"/>
      <c r="F153" s="28"/>
      <c r="G153" s="5">
        <v>391422832</v>
      </c>
      <c r="H153" s="5">
        <v>391427135</v>
      </c>
      <c r="I153" s="5">
        <v>4304</v>
      </c>
      <c r="J153" s="5" t="s">
        <v>138</v>
      </c>
      <c r="K153" s="5" t="s">
        <v>350</v>
      </c>
      <c r="L153" s="5" t="s">
        <v>350</v>
      </c>
      <c r="M153" s="5" t="s">
        <v>351</v>
      </c>
    </row>
    <row r="154" spans="1:13" x14ac:dyDescent="0.3">
      <c r="B154" s="28"/>
      <c r="C154" s="28"/>
      <c r="D154" s="28"/>
      <c r="E154" s="28"/>
      <c r="F154" s="28"/>
      <c r="G154" s="5">
        <v>391444752</v>
      </c>
      <c r="H154" s="5">
        <v>391449156</v>
      </c>
      <c r="I154" s="5">
        <v>4405</v>
      </c>
      <c r="J154" s="5" t="s">
        <v>138</v>
      </c>
      <c r="K154" s="5" t="s">
        <v>352</v>
      </c>
      <c r="L154" s="5" t="s">
        <v>352</v>
      </c>
      <c r="M154" s="5" t="s">
        <v>353</v>
      </c>
    </row>
    <row r="155" spans="1:13" x14ac:dyDescent="0.3">
      <c r="B155" s="5" t="s">
        <v>44</v>
      </c>
      <c r="C155" s="5" t="s">
        <v>312</v>
      </c>
      <c r="D155" s="5">
        <v>341599781</v>
      </c>
      <c r="E155" s="11">
        <v>341734256</v>
      </c>
      <c r="F155" s="11">
        <f>(E155-D155)/1000</f>
        <v>134.47499999999999</v>
      </c>
      <c r="G155" s="5">
        <v>341655504</v>
      </c>
      <c r="H155" s="5">
        <v>341656552</v>
      </c>
      <c r="I155" s="5">
        <v>1049</v>
      </c>
      <c r="J155" s="5" t="s">
        <v>131</v>
      </c>
      <c r="K155" s="5" t="s">
        <v>329</v>
      </c>
      <c r="L155" s="5" t="s">
        <v>329</v>
      </c>
      <c r="M155" s="5" t="s">
        <v>330</v>
      </c>
    </row>
    <row r="156" spans="1:13" ht="14.4" customHeight="1" x14ac:dyDescent="0.3">
      <c r="B156" s="28" t="s">
        <v>45</v>
      </c>
      <c r="C156" s="28" t="s">
        <v>177</v>
      </c>
      <c r="D156" s="33">
        <v>250210138</v>
      </c>
      <c r="E156" s="33">
        <v>250394793</v>
      </c>
      <c r="F156" s="33">
        <v>184.66</v>
      </c>
      <c r="G156" s="5">
        <v>250247082</v>
      </c>
      <c r="H156" s="5">
        <v>250247520</v>
      </c>
      <c r="I156" s="5">
        <v>439</v>
      </c>
      <c r="J156" s="5" t="s">
        <v>131</v>
      </c>
      <c r="K156" s="5" t="s">
        <v>530</v>
      </c>
      <c r="L156" s="5" t="s">
        <v>530</v>
      </c>
      <c r="M156" s="5" t="s">
        <v>316</v>
      </c>
    </row>
    <row r="157" spans="1:13" x14ac:dyDescent="0.3">
      <c r="B157" s="28"/>
      <c r="C157" s="28"/>
      <c r="D157" s="33"/>
      <c r="E157" s="33"/>
      <c r="F157" s="33"/>
      <c r="G157" s="5">
        <v>250261784</v>
      </c>
      <c r="H157" s="5">
        <v>250281178</v>
      </c>
      <c r="I157" s="5">
        <v>19395</v>
      </c>
      <c r="J157" s="5" t="s">
        <v>131</v>
      </c>
      <c r="K157" s="5" t="s">
        <v>531</v>
      </c>
      <c r="L157" s="5" t="s">
        <v>531</v>
      </c>
      <c r="M157" s="5" t="s">
        <v>532</v>
      </c>
    </row>
    <row r="158" spans="1:13" x14ac:dyDescent="0.3">
      <c r="B158" s="5" t="s">
        <v>46</v>
      </c>
      <c r="C158" s="5" t="s">
        <v>228</v>
      </c>
    </row>
    <row r="159" spans="1:13" ht="16.8" x14ac:dyDescent="0.3">
      <c r="A159" s="6" t="s">
        <v>127</v>
      </c>
    </row>
    <row r="160" spans="1:13" x14ac:dyDescent="0.3">
      <c r="B160" s="28" t="s">
        <v>47</v>
      </c>
      <c r="C160" s="28" t="s">
        <v>130</v>
      </c>
      <c r="D160" s="28">
        <v>2816514</v>
      </c>
      <c r="E160" s="28">
        <v>3023697</v>
      </c>
      <c r="F160" s="28">
        <f>(E160-D160)/1000</f>
        <v>207.18299999999999</v>
      </c>
      <c r="G160" s="5">
        <v>2883268</v>
      </c>
      <c r="H160" s="5">
        <v>2889969</v>
      </c>
      <c r="I160" s="5">
        <v>6702</v>
      </c>
      <c r="J160" s="5" t="s">
        <v>131</v>
      </c>
      <c r="K160" s="5" t="s">
        <v>193</v>
      </c>
      <c r="L160" s="5" t="s">
        <v>193</v>
      </c>
      <c r="M160" s="5" t="s">
        <v>194</v>
      </c>
    </row>
    <row r="161" spans="1:13" x14ac:dyDescent="0.3">
      <c r="B161" s="28"/>
      <c r="C161" s="28"/>
      <c r="D161" s="28"/>
      <c r="E161" s="28"/>
      <c r="F161" s="28"/>
      <c r="G161" s="5">
        <v>2962803</v>
      </c>
      <c r="H161" s="5">
        <v>2970284</v>
      </c>
      <c r="I161" s="5">
        <v>7482</v>
      </c>
      <c r="J161" s="5" t="s">
        <v>138</v>
      </c>
      <c r="K161" s="5" t="s">
        <v>195</v>
      </c>
      <c r="L161" s="5" t="s">
        <v>195</v>
      </c>
      <c r="M161" s="5" t="s">
        <v>196</v>
      </c>
    </row>
    <row r="162" spans="1:13" x14ac:dyDescent="0.3">
      <c r="B162" s="28"/>
      <c r="C162" s="28"/>
      <c r="D162" s="28"/>
      <c r="E162" s="28"/>
      <c r="F162" s="28"/>
      <c r="G162" s="5">
        <v>2962964</v>
      </c>
      <c r="H162" s="5">
        <v>2966823</v>
      </c>
      <c r="I162" s="5">
        <v>3860</v>
      </c>
      <c r="J162" s="5" t="s">
        <v>131</v>
      </c>
      <c r="K162" s="5" t="s">
        <v>197</v>
      </c>
      <c r="L162" s="5" t="s">
        <v>197</v>
      </c>
      <c r="M162" s="5" t="s">
        <v>198</v>
      </c>
    </row>
    <row r="163" spans="1:13" x14ac:dyDescent="0.3">
      <c r="B163" s="28"/>
      <c r="C163" s="28"/>
      <c r="D163" s="28"/>
      <c r="E163" s="28"/>
      <c r="F163" s="28"/>
      <c r="G163" s="5">
        <v>2973253</v>
      </c>
      <c r="H163" s="5">
        <v>2974986</v>
      </c>
      <c r="I163" s="5">
        <v>1734</v>
      </c>
      <c r="J163" s="5" t="s">
        <v>131</v>
      </c>
      <c r="K163" s="5" t="s">
        <v>199</v>
      </c>
      <c r="L163" s="5" t="s">
        <v>199</v>
      </c>
      <c r="M163" s="5" t="s">
        <v>200</v>
      </c>
    </row>
    <row r="164" spans="1:13" x14ac:dyDescent="0.3">
      <c r="B164" s="28"/>
      <c r="C164" s="28"/>
      <c r="D164" s="28"/>
      <c r="E164" s="28"/>
      <c r="F164" s="28"/>
      <c r="G164" s="5">
        <v>2998787</v>
      </c>
      <c r="H164" s="5">
        <v>3000465</v>
      </c>
      <c r="I164" s="5">
        <v>1679</v>
      </c>
      <c r="J164" s="5" t="s">
        <v>131</v>
      </c>
      <c r="K164" s="5" t="s">
        <v>201</v>
      </c>
      <c r="L164" s="5" t="s">
        <v>201</v>
      </c>
      <c r="M164" s="5" t="s">
        <v>202</v>
      </c>
    </row>
    <row r="165" spans="1:13" x14ac:dyDescent="0.3">
      <c r="B165" s="28"/>
      <c r="C165" s="28"/>
      <c r="D165" s="28"/>
      <c r="E165" s="28"/>
      <c r="F165" s="28"/>
      <c r="G165" s="5">
        <v>3004332</v>
      </c>
      <c r="H165" s="5">
        <v>3004863</v>
      </c>
      <c r="I165" s="5">
        <v>532</v>
      </c>
      <c r="J165" s="5" t="s">
        <v>138</v>
      </c>
      <c r="K165" s="5" t="s">
        <v>203</v>
      </c>
      <c r="L165" s="5" t="s">
        <v>203</v>
      </c>
      <c r="M165" s="5" t="s">
        <v>158</v>
      </c>
    </row>
    <row r="166" spans="1:13" x14ac:dyDescent="0.3">
      <c r="B166" s="28"/>
      <c r="C166" s="28"/>
      <c r="D166" s="28"/>
      <c r="E166" s="28"/>
      <c r="F166" s="28"/>
      <c r="G166" s="5">
        <v>3004915</v>
      </c>
      <c r="H166" s="5">
        <v>3005855</v>
      </c>
      <c r="I166" s="5">
        <v>941</v>
      </c>
      <c r="J166" s="5" t="s">
        <v>138</v>
      </c>
      <c r="K166" s="5" t="s">
        <v>204</v>
      </c>
      <c r="L166" s="5" t="s">
        <v>204</v>
      </c>
      <c r="M166" s="5" t="s">
        <v>155</v>
      </c>
    </row>
    <row r="167" spans="1:13" ht="16.8" x14ac:dyDescent="0.3">
      <c r="A167" s="6" t="s">
        <v>128</v>
      </c>
    </row>
    <row r="168" spans="1:13" x14ac:dyDescent="0.3">
      <c r="B168" s="27" t="s">
        <v>48</v>
      </c>
      <c r="C168" s="28" t="s">
        <v>130</v>
      </c>
      <c r="D168" s="28">
        <v>459322469</v>
      </c>
      <c r="E168" s="28">
        <v>459322491</v>
      </c>
      <c r="F168" s="28">
        <f>(E168-D168)/1000</f>
        <v>2.1999999999999999E-2</v>
      </c>
      <c r="G168" s="5">
        <v>459320961</v>
      </c>
      <c r="H168" s="5">
        <v>459322488</v>
      </c>
      <c r="I168" s="5">
        <v>1528</v>
      </c>
      <c r="J168" s="5" t="s">
        <v>138</v>
      </c>
      <c r="K168" s="5" t="s">
        <v>149</v>
      </c>
      <c r="L168" s="5" t="s">
        <v>149</v>
      </c>
      <c r="M168" s="5" t="s">
        <v>150</v>
      </c>
    </row>
    <row r="169" spans="1:13" x14ac:dyDescent="0.3">
      <c r="B169" s="27"/>
      <c r="C169" s="28"/>
      <c r="D169" s="28"/>
      <c r="E169" s="28"/>
      <c r="F169" s="28"/>
      <c r="G169" s="5">
        <v>459321635</v>
      </c>
      <c r="H169" s="5">
        <v>459329866</v>
      </c>
      <c r="I169" s="5">
        <v>8232</v>
      </c>
      <c r="J169" s="5" t="s">
        <v>131</v>
      </c>
      <c r="K169" s="13" t="s">
        <v>151</v>
      </c>
      <c r="L169" s="13" t="s">
        <v>151</v>
      </c>
      <c r="M169" s="5" t="s">
        <v>150</v>
      </c>
    </row>
    <row r="170" spans="1:13" ht="14.4" customHeight="1" x14ac:dyDescent="0.3">
      <c r="B170" s="28" t="s">
        <v>49</v>
      </c>
      <c r="C170" s="28" t="s">
        <v>205</v>
      </c>
      <c r="D170" s="28">
        <v>331619544</v>
      </c>
      <c r="E170" s="28">
        <v>331760501</v>
      </c>
      <c r="F170" s="28">
        <f>(E170-D170)/1000</f>
        <v>140.95699999999999</v>
      </c>
      <c r="G170" s="5">
        <v>331622486</v>
      </c>
      <c r="H170" s="5">
        <v>331623382</v>
      </c>
      <c r="I170" s="5">
        <v>897</v>
      </c>
      <c r="J170" s="5" t="s">
        <v>131</v>
      </c>
      <c r="K170" s="5" t="s">
        <v>291</v>
      </c>
      <c r="L170" s="5" t="s">
        <v>291</v>
      </c>
      <c r="M170" s="5" t="s">
        <v>292</v>
      </c>
    </row>
    <row r="171" spans="1:13" ht="14.4" customHeight="1" x14ac:dyDescent="0.3">
      <c r="B171" s="28"/>
      <c r="C171" s="28"/>
      <c r="D171" s="28"/>
      <c r="E171" s="28"/>
      <c r="F171" s="28"/>
      <c r="G171" s="5">
        <v>331696460</v>
      </c>
      <c r="H171" s="5">
        <v>331699904</v>
      </c>
      <c r="I171" s="5">
        <v>3445</v>
      </c>
      <c r="J171" s="5" t="s">
        <v>138</v>
      </c>
      <c r="K171" s="5" t="s">
        <v>293</v>
      </c>
      <c r="L171" s="5" t="s">
        <v>293</v>
      </c>
      <c r="M171" s="5" t="s">
        <v>294</v>
      </c>
    </row>
    <row r="172" spans="1:13" ht="14.4" customHeight="1" x14ac:dyDescent="0.3">
      <c r="B172" s="28"/>
      <c r="C172" s="28"/>
      <c r="D172" s="28"/>
      <c r="E172" s="28"/>
      <c r="F172" s="28"/>
      <c r="G172" s="5">
        <v>331701945</v>
      </c>
      <c r="H172" s="5">
        <v>331702595</v>
      </c>
      <c r="I172" s="5">
        <v>651</v>
      </c>
      <c r="J172" s="5" t="s">
        <v>138</v>
      </c>
      <c r="K172" s="5" t="s">
        <v>295</v>
      </c>
      <c r="L172" s="5" t="s">
        <v>295</v>
      </c>
      <c r="M172" s="5" t="s">
        <v>150</v>
      </c>
    </row>
    <row r="173" spans="1:13" ht="14.4" customHeight="1" x14ac:dyDescent="0.3">
      <c r="B173" s="28"/>
      <c r="C173" s="28"/>
      <c r="D173" s="28"/>
      <c r="E173" s="28"/>
      <c r="F173" s="28"/>
      <c r="G173" s="5">
        <v>331702033</v>
      </c>
      <c r="H173" s="5">
        <v>331704320</v>
      </c>
      <c r="I173" s="5">
        <v>2288</v>
      </c>
      <c r="J173" s="5" t="s">
        <v>131</v>
      </c>
      <c r="K173" s="5" t="s">
        <v>296</v>
      </c>
      <c r="L173" s="5" t="s">
        <v>296</v>
      </c>
      <c r="M173" s="5" t="s">
        <v>297</v>
      </c>
    </row>
    <row r="174" spans="1:13" ht="14.4" customHeight="1" x14ac:dyDescent="0.3">
      <c r="B174" s="28"/>
      <c r="C174" s="28"/>
      <c r="D174" s="28"/>
      <c r="E174" s="28"/>
      <c r="F174" s="28"/>
      <c r="G174" s="5">
        <v>331707348</v>
      </c>
      <c r="H174" s="5">
        <v>331711000</v>
      </c>
      <c r="I174" s="5">
        <v>3653</v>
      </c>
      <c r="J174" s="5" t="s">
        <v>131</v>
      </c>
      <c r="K174" s="5" t="s">
        <v>298</v>
      </c>
      <c r="L174" s="5" t="s">
        <v>298</v>
      </c>
      <c r="M174" s="5" t="s">
        <v>299</v>
      </c>
    </row>
    <row r="175" spans="1:13" ht="14.4" customHeight="1" x14ac:dyDescent="0.3">
      <c r="B175" s="28"/>
      <c r="C175" s="28"/>
      <c r="D175" s="28"/>
      <c r="E175" s="28"/>
      <c r="F175" s="28"/>
      <c r="G175" s="5">
        <v>331727625</v>
      </c>
      <c r="H175" s="5">
        <v>331732849</v>
      </c>
      <c r="I175" s="5">
        <v>5225</v>
      </c>
      <c r="J175" s="5" t="s">
        <v>131</v>
      </c>
      <c r="K175" s="5" t="s">
        <v>300</v>
      </c>
      <c r="L175" s="5" t="s">
        <v>300</v>
      </c>
      <c r="M175" s="5" t="s">
        <v>301</v>
      </c>
    </row>
    <row r="176" spans="1:13" x14ac:dyDescent="0.3">
      <c r="B176" s="5" t="s">
        <v>50</v>
      </c>
      <c r="C176" s="5" t="s">
        <v>228</v>
      </c>
    </row>
    <row r="177" spans="1:13" x14ac:dyDescent="0.3">
      <c r="B177" s="5" t="s">
        <v>51</v>
      </c>
      <c r="C177" s="5" t="s">
        <v>228</v>
      </c>
    </row>
    <row r="178" spans="1:13" x14ac:dyDescent="0.3">
      <c r="B178" s="5" t="s">
        <v>52</v>
      </c>
      <c r="C178" s="5" t="s">
        <v>228</v>
      </c>
    </row>
    <row r="179" spans="1:13" x14ac:dyDescent="0.3">
      <c r="B179" s="5" t="s">
        <v>53</v>
      </c>
      <c r="C179" s="9" t="s">
        <v>228</v>
      </c>
      <c r="D179" s="9"/>
      <c r="E179" s="9"/>
      <c r="F179" s="9"/>
      <c r="G179" s="9"/>
    </row>
    <row r="180" spans="1:13" ht="14.4" customHeight="1" x14ac:dyDescent="0.3">
      <c r="B180" s="28" t="s">
        <v>54</v>
      </c>
      <c r="C180" s="28" t="s">
        <v>177</v>
      </c>
      <c r="D180" s="33">
        <v>521937134</v>
      </c>
      <c r="E180" s="33">
        <v>522053152</v>
      </c>
      <c r="F180" s="33">
        <v>116</v>
      </c>
      <c r="G180" s="5">
        <v>521985326</v>
      </c>
      <c r="H180" s="5">
        <v>521989849</v>
      </c>
      <c r="I180" s="5">
        <v>4524</v>
      </c>
      <c r="J180" s="5" t="s">
        <v>131</v>
      </c>
      <c r="K180" s="5" t="s">
        <v>544</v>
      </c>
      <c r="L180" s="5" t="s">
        <v>544</v>
      </c>
      <c r="M180" s="5" t="s">
        <v>545</v>
      </c>
    </row>
    <row r="181" spans="1:13" x14ac:dyDescent="0.3">
      <c r="B181" s="28"/>
      <c r="C181" s="28"/>
      <c r="D181" s="33"/>
      <c r="E181" s="33"/>
      <c r="F181" s="33"/>
      <c r="G181" s="5">
        <v>521995770</v>
      </c>
      <c r="H181" s="5">
        <v>521996300</v>
      </c>
      <c r="I181" s="5">
        <v>531</v>
      </c>
      <c r="J181" s="5" t="s">
        <v>138</v>
      </c>
      <c r="K181" s="5" t="s">
        <v>546</v>
      </c>
      <c r="L181" s="5" t="s">
        <v>546</v>
      </c>
      <c r="M181" s="5" t="s">
        <v>547</v>
      </c>
    </row>
    <row r="182" spans="1:13" x14ac:dyDescent="0.3">
      <c r="B182" s="28"/>
      <c r="C182" s="28"/>
      <c r="D182" s="33"/>
      <c r="E182" s="33"/>
      <c r="F182" s="33"/>
      <c r="G182" s="5">
        <v>521997030</v>
      </c>
      <c r="H182" s="5">
        <v>522005256</v>
      </c>
      <c r="I182" s="5">
        <v>8227</v>
      </c>
      <c r="J182" s="5" t="s">
        <v>138</v>
      </c>
      <c r="K182" s="5" t="s">
        <v>548</v>
      </c>
      <c r="L182" s="5" t="s">
        <v>548</v>
      </c>
      <c r="M182" s="5" t="s">
        <v>549</v>
      </c>
    </row>
    <row r="183" spans="1:13" x14ac:dyDescent="0.3">
      <c r="B183" s="28"/>
      <c r="C183" s="28"/>
      <c r="D183" s="33"/>
      <c r="E183" s="33"/>
      <c r="F183" s="33"/>
      <c r="G183" s="5">
        <v>522017047</v>
      </c>
      <c r="H183" s="5">
        <v>522020857</v>
      </c>
      <c r="I183" s="5">
        <v>3811</v>
      </c>
      <c r="J183" s="5" t="s">
        <v>138</v>
      </c>
      <c r="K183" s="5" t="s">
        <v>550</v>
      </c>
      <c r="L183" s="5" t="s">
        <v>550</v>
      </c>
      <c r="M183" s="5" t="s">
        <v>162</v>
      </c>
    </row>
    <row r="184" spans="1:13" x14ac:dyDescent="0.3">
      <c r="B184" s="28"/>
      <c r="C184" s="28"/>
      <c r="D184" s="33"/>
      <c r="E184" s="33"/>
      <c r="F184" s="33"/>
      <c r="G184" s="5">
        <v>522019186</v>
      </c>
      <c r="H184" s="5">
        <v>522020816</v>
      </c>
      <c r="I184" s="5">
        <v>1631</v>
      </c>
      <c r="J184" s="5" t="s">
        <v>131</v>
      </c>
      <c r="K184" s="5" t="s">
        <v>551</v>
      </c>
      <c r="L184" s="5" t="s">
        <v>551</v>
      </c>
      <c r="M184" s="5" t="s">
        <v>552</v>
      </c>
    </row>
    <row r="185" spans="1:13" x14ac:dyDescent="0.3">
      <c r="B185" s="28"/>
      <c r="C185" s="28"/>
      <c r="D185" s="33"/>
      <c r="E185" s="33"/>
      <c r="F185" s="33"/>
      <c r="G185" s="5">
        <v>522029604</v>
      </c>
      <c r="H185" s="5">
        <v>522032476</v>
      </c>
      <c r="I185" s="5">
        <v>2873</v>
      </c>
      <c r="J185" s="5" t="s">
        <v>131</v>
      </c>
      <c r="K185" s="5" t="s">
        <v>553</v>
      </c>
      <c r="L185" s="5" t="s">
        <v>553</v>
      </c>
      <c r="M185" s="5" t="s">
        <v>554</v>
      </c>
    </row>
    <row r="186" spans="1:13" x14ac:dyDescent="0.3">
      <c r="B186" s="28"/>
      <c r="C186" s="28"/>
      <c r="D186" s="33"/>
      <c r="E186" s="33"/>
      <c r="F186" s="33"/>
      <c r="G186" s="5">
        <v>522050113</v>
      </c>
      <c r="H186" s="5">
        <v>522052566</v>
      </c>
      <c r="I186" s="5">
        <v>2454</v>
      </c>
      <c r="J186" s="5" t="s">
        <v>131</v>
      </c>
      <c r="K186" s="5" t="s">
        <v>555</v>
      </c>
      <c r="L186" s="5" t="s">
        <v>555</v>
      </c>
      <c r="M186" s="5" t="s">
        <v>150</v>
      </c>
    </row>
    <row r="187" spans="1:13" x14ac:dyDescent="0.3">
      <c r="B187" s="28"/>
      <c r="C187" s="28"/>
      <c r="D187" s="33"/>
      <c r="E187" s="33"/>
      <c r="F187" s="33"/>
      <c r="G187" s="5">
        <v>522050113</v>
      </c>
      <c r="H187" s="5">
        <v>522052618</v>
      </c>
      <c r="I187" s="5">
        <v>2506</v>
      </c>
      <c r="J187" s="5" t="s">
        <v>138</v>
      </c>
      <c r="K187" s="5" t="s">
        <v>556</v>
      </c>
      <c r="L187" s="5" t="s">
        <v>556</v>
      </c>
      <c r="M187" s="5" t="s">
        <v>557</v>
      </c>
    </row>
    <row r="188" spans="1:13" s="26" customFormat="1" ht="18.600000000000001" x14ac:dyDescent="0.3">
      <c r="A188" s="26" t="s">
        <v>55</v>
      </c>
    </row>
    <row r="189" spans="1:13" ht="16.8" x14ac:dyDescent="0.3">
      <c r="A189" s="6" t="s">
        <v>125</v>
      </c>
      <c r="C189" s="9"/>
      <c r="D189" s="9"/>
      <c r="E189" s="9"/>
      <c r="F189" s="9"/>
      <c r="G189" s="9"/>
    </row>
    <row r="190" spans="1:13" ht="14.4" customHeight="1" x14ac:dyDescent="0.3">
      <c r="B190" s="28" t="s">
        <v>56</v>
      </c>
      <c r="C190" s="28" t="s">
        <v>177</v>
      </c>
      <c r="D190" s="33">
        <v>485293203</v>
      </c>
      <c r="E190" s="33">
        <v>485459333</v>
      </c>
      <c r="F190" s="33">
        <v>166.13</v>
      </c>
      <c r="G190" s="5">
        <v>485395746</v>
      </c>
      <c r="H190" s="5">
        <v>485400717</v>
      </c>
      <c r="I190" s="5">
        <v>4972</v>
      </c>
      <c r="J190" s="5" t="s">
        <v>138</v>
      </c>
      <c r="K190" s="5" t="s">
        <v>533</v>
      </c>
      <c r="L190" s="5" t="s">
        <v>534</v>
      </c>
      <c r="M190" s="5" t="s">
        <v>535</v>
      </c>
    </row>
    <row r="191" spans="1:13" x14ac:dyDescent="0.3">
      <c r="B191" s="28"/>
      <c r="C191" s="28"/>
      <c r="D191" s="33"/>
      <c r="E191" s="33"/>
      <c r="F191" s="33"/>
      <c r="G191" s="5">
        <v>485435041</v>
      </c>
      <c r="H191" s="5">
        <v>485435535</v>
      </c>
      <c r="I191" s="5">
        <v>495</v>
      </c>
      <c r="J191" s="5" t="s">
        <v>138</v>
      </c>
      <c r="K191" s="5" t="s">
        <v>536</v>
      </c>
      <c r="L191" s="5" t="s">
        <v>536</v>
      </c>
      <c r="M191" s="5" t="s">
        <v>537</v>
      </c>
    </row>
    <row r="192" spans="1:13" x14ac:dyDescent="0.3">
      <c r="B192" s="27" t="s">
        <v>57</v>
      </c>
      <c r="C192" s="30" t="s">
        <v>130</v>
      </c>
      <c r="D192" s="42">
        <v>535616773</v>
      </c>
      <c r="E192" s="42">
        <v>535640062</v>
      </c>
      <c r="F192" s="42">
        <f>(E192-D192)/1000</f>
        <v>23.289000000000001</v>
      </c>
      <c r="G192" s="5">
        <v>535628125</v>
      </c>
      <c r="H192" s="5">
        <v>535630577</v>
      </c>
      <c r="I192" s="5">
        <v>2453</v>
      </c>
      <c r="J192" s="5" t="s">
        <v>138</v>
      </c>
      <c r="K192" s="5" t="s">
        <v>169</v>
      </c>
      <c r="L192" s="5" t="s">
        <v>169</v>
      </c>
      <c r="M192" s="5" t="s">
        <v>170</v>
      </c>
    </row>
    <row r="193" spans="1:13" x14ac:dyDescent="0.3">
      <c r="B193" s="27"/>
      <c r="C193" s="30"/>
      <c r="D193" s="42"/>
      <c r="E193" s="42"/>
      <c r="F193" s="42"/>
      <c r="G193" s="5">
        <v>535636492</v>
      </c>
      <c r="H193" s="5">
        <v>535639591</v>
      </c>
      <c r="I193" s="5">
        <v>3100</v>
      </c>
      <c r="J193" s="5" t="s">
        <v>138</v>
      </c>
      <c r="K193" s="5" t="s">
        <v>171</v>
      </c>
      <c r="L193" s="5" t="s">
        <v>171</v>
      </c>
      <c r="M193" s="5" t="s">
        <v>170</v>
      </c>
    </row>
    <row r="194" spans="1:13" x14ac:dyDescent="0.3">
      <c r="B194" s="27"/>
      <c r="C194" s="30"/>
      <c r="D194" s="42"/>
      <c r="E194" s="42"/>
      <c r="F194" s="42"/>
      <c r="G194" s="5">
        <v>535638702</v>
      </c>
      <c r="H194" s="5">
        <v>535641754</v>
      </c>
      <c r="I194" s="5">
        <v>3053</v>
      </c>
      <c r="J194" s="5" t="s">
        <v>131</v>
      </c>
      <c r="K194" s="13" t="s">
        <v>172</v>
      </c>
      <c r="L194" s="13" t="s">
        <v>172</v>
      </c>
      <c r="M194" s="5" t="s">
        <v>170</v>
      </c>
    </row>
    <row r="195" spans="1:13" x14ac:dyDescent="0.3">
      <c r="B195" s="5" t="s">
        <v>58</v>
      </c>
      <c r="C195" s="5" t="s">
        <v>205</v>
      </c>
      <c r="D195" s="5">
        <v>34118029</v>
      </c>
      <c r="E195" s="5">
        <v>34265234</v>
      </c>
      <c r="F195" s="5">
        <f>(E195-D195)/1000</f>
        <v>147.20500000000001</v>
      </c>
      <c r="G195" s="5">
        <v>34117126</v>
      </c>
      <c r="H195" s="5">
        <v>34118497</v>
      </c>
      <c r="I195" s="5">
        <v>1372</v>
      </c>
      <c r="J195" s="5" t="s">
        <v>138</v>
      </c>
      <c r="K195" s="5" t="s">
        <v>226</v>
      </c>
      <c r="L195" s="5" t="s">
        <v>226</v>
      </c>
      <c r="M195" s="5" t="s">
        <v>227</v>
      </c>
    </row>
    <row r="196" spans="1:13" ht="16.8" x14ac:dyDescent="0.3">
      <c r="A196" s="6" t="s">
        <v>126</v>
      </c>
    </row>
    <row r="197" spans="1:13" x14ac:dyDescent="0.3">
      <c r="B197" s="28" t="s">
        <v>59</v>
      </c>
      <c r="C197" s="28" t="s">
        <v>205</v>
      </c>
      <c r="D197" s="28">
        <v>7000901</v>
      </c>
      <c r="E197" s="28">
        <v>7128575</v>
      </c>
      <c r="F197" s="28">
        <f>(E197-D197)/1000</f>
        <v>127.67400000000001</v>
      </c>
      <c r="G197" s="5">
        <v>7030864</v>
      </c>
      <c r="H197" s="5">
        <v>7031244</v>
      </c>
      <c r="I197" s="5">
        <v>381</v>
      </c>
      <c r="J197" s="5" t="s">
        <v>138</v>
      </c>
      <c r="K197" s="5" t="s">
        <v>239</v>
      </c>
      <c r="L197" s="5" t="s">
        <v>239</v>
      </c>
    </row>
    <row r="198" spans="1:13" x14ac:dyDescent="0.3">
      <c r="B198" s="28"/>
      <c r="C198" s="28"/>
      <c r="D198" s="28"/>
      <c r="E198" s="28"/>
      <c r="F198" s="28"/>
      <c r="G198" s="5">
        <v>7037476</v>
      </c>
      <c r="H198" s="5">
        <v>7048329</v>
      </c>
      <c r="I198" s="5">
        <v>10854</v>
      </c>
      <c r="J198" s="5" t="s">
        <v>131</v>
      </c>
      <c r="K198" s="5" t="s">
        <v>240</v>
      </c>
      <c r="L198" s="5" t="s">
        <v>240</v>
      </c>
    </row>
    <row r="199" spans="1:13" x14ac:dyDescent="0.3">
      <c r="B199" s="28"/>
      <c r="C199" s="28"/>
      <c r="D199" s="28"/>
      <c r="E199" s="28"/>
      <c r="F199" s="28"/>
      <c r="G199" s="5">
        <v>7040178</v>
      </c>
      <c r="H199" s="5">
        <v>7040636</v>
      </c>
      <c r="I199" s="5">
        <v>459</v>
      </c>
      <c r="J199" s="5" t="s">
        <v>138</v>
      </c>
      <c r="K199" s="5" t="s">
        <v>241</v>
      </c>
      <c r="L199" s="5" t="s">
        <v>241</v>
      </c>
    </row>
    <row r="200" spans="1:13" x14ac:dyDescent="0.3">
      <c r="B200" s="28"/>
      <c r="C200" s="28"/>
      <c r="D200" s="28"/>
      <c r="E200" s="28"/>
      <c r="F200" s="28"/>
      <c r="G200" s="5">
        <v>7049330</v>
      </c>
      <c r="H200" s="5">
        <v>7057645</v>
      </c>
      <c r="I200" s="5">
        <v>8316</v>
      </c>
      <c r="J200" s="5" t="s">
        <v>138</v>
      </c>
      <c r="K200" s="5" t="s">
        <v>242</v>
      </c>
      <c r="L200" s="5" t="s">
        <v>242</v>
      </c>
    </row>
    <row r="201" spans="1:13" x14ac:dyDescent="0.3">
      <c r="B201" s="28"/>
      <c r="C201" s="28"/>
      <c r="D201" s="28"/>
      <c r="E201" s="28"/>
      <c r="F201" s="28"/>
      <c r="G201" s="5">
        <v>7069110</v>
      </c>
      <c r="H201" s="5">
        <v>7069596</v>
      </c>
      <c r="I201" s="5">
        <v>487</v>
      </c>
      <c r="J201" s="5" t="s">
        <v>138</v>
      </c>
      <c r="K201" s="5" t="s">
        <v>243</v>
      </c>
      <c r="L201" s="5" t="s">
        <v>243</v>
      </c>
    </row>
    <row r="202" spans="1:13" x14ac:dyDescent="0.3">
      <c r="B202" s="27" t="s">
        <v>60</v>
      </c>
      <c r="C202" s="28" t="s">
        <v>205</v>
      </c>
      <c r="D202" s="28">
        <v>7882361</v>
      </c>
      <c r="E202" s="28">
        <v>7945308</v>
      </c>
      <c r="F202" s="28">
        <f>(E202-D202)/1000</f>
        <v>62.947000000000003</v>
      </c>
      <c r="G202" s="5">
        <v>7911058</v>
      </c>
      <c r="H202" s="5">
        <v>7912979</v>
      </c>
      <c r="I202" s="5">
        <v>1922</v>
      </c>
      <c r="J202" s="5" t="s">
        <v>138</v>
      </c>
      <c r="K202" s="13" t="s">
        <v>212</v>
      </c>
      <c r="L202" s="13" t="s">
        <v>212</v>
      </c>
      <c r="M202" s="5" t="s">
        <v>213</v>
      </c>
    </row>
    <row r="203" spans="1:13" x14ac:dyDescent="0.3">
      <c r="B203" s="27"/>
      <c r="C203" s="28"/>
      <c r="D203" s="28"/>
      <c r="E203" s="28"/>
      <c r="F203" s="28"/>
      <c r="G203" s="5">
        <v>7926032</v>
      </c>
      <c r="H203" s="5">
        <v>7927774</v>
      </c>
      <c r="I203" s="5">
        <v>1743</v>
      </c>
      <c r="J203" s="5" t="s">
        <v>138</v>
      </c>
      <c r="K203" s="5" t="s">
        <v>214</v>
      </c>
      <c r="L203" s="5" t="s">
        <v>214</v>
      </c>
      <c r="M203" s="5" t="s">
        <v>215</v>
      </c>
    </row>
    <row r="204" spans="1:13" x14ac:dyDescent="0.3">
      <c r="B204" s="27"/>
      <c r="C204" s="28"/>
      <c r="D204" s="28"/>
      <c r="E204" s="28"/>
      <c r="F204" s="28"/>
      <c r="G204" s="5">
        <v>7934064</v>
      </c>
      <c r="H204" s="5">
        <v>7939728</v>
      </c>
      <c r="I204" s="5">
        <v>5665</v>
      </c>
      <c r="J204" s="5" t="s">
        <v>138</v>
      </c>
      <c r="K204" s="5" t="s">
        <v>216</v>
      </c>
      <c r="L204" s="5" t="s">
        <v>216</v>
      </c>
      <c r="M204" s="5" t="s">
        <v>217</v>
      </c>
    </row>
    <row r="205" spans="1:13" x14ac:dyDescent="0.3">
      <c r="B205" s="27"/>
      <c r="C205" s="28"/>
      <c r="D205" s="28"/>
      <c r="E205" s="28"/>
      <c r="F205" s="28"/>
      <c r="G205" s="5">
        <v>7940741</v>
      </c>
      <c r="H205" s="5">
        <v>7944275</v>
      </c>
      <c r="I205" s="5">
        <v>3535</v>
      </c>
      <c r="J205" s="5" t="s">
        <v>138</v>
      </c>
      <c r="K205" s="5" t="s">
        <v>218</v>
      </c>
      <c r="L205" s="5" t="s">
        <v>218</v>
      </c>
      <c r="M205" s="5" t="s">
        <v>219</v>
      </c>
    </row>
    <row r="206" spans="1:13" x14ac:dyDescent="0.3">
      <c r="B206" s="5" t="s">
        <v>61</v>
      </c>
      <c r="C206" s="5" t="s">
        <v>205</v>
      </c>
      <c r="D206" s="5">
        <v>7819720</v>
      </c>
      <c r="E206" s="5">
        <v>7912715</v>
      </c>
      <c r="F206" s="5">
        <f>(E206-D206)/1000</f>
        <v>92.995000000000005</v>
      </c>
      <c r="G206" s="5">
        <v>7911058</v>
      </c>
      <c r="H206" s="5">
        <v>7912979</v>
      </c>
      <c r="I206" s="5">
        <v>1922</v>
      </c>
      <c r="J206" s="5" t="s">
        <v>138</v>
      </c>
      <c r="K206" s="5" t="s">
        <v>212</v>
      </c>
      <c r="L206" s="5" t="s">
        <v>212</v>
      </c>
      <c r="M206" s="5" t="s">
        <v>213</v>
      </c>
    </row>
    <row r="207" spans="1:13" x14ac:dyDescent="0.3">
      <c r="B207" s="28" t="s">
        <v>62</v>
      </c>
      <c r="C207" s="28" t="s">
        <v>205</v>
      </c>
      <c r="D207" s="28">
        <v>7694341</v>
      </c>
      <c r="E207" s="28">
        <v>7945308</v>
      </c>
      <c r="F207" s="28">
        <f>(E207-D207)/1000</f>
        <v>250.96700000000001</v>
      </c>
      <c r="G207" s="5">
        <v>7745227</v>
      </c>
      <c r="H207" s="5">
        <v>7746163</v>
      </c>
      <c r="I207" s="5">
        <v>937</v>
      </c>
      <c r="J207" s="5" t="s">
        <v>131</v>
      </c>
      <c r="K207" s="5" t="s">
        <v>257</v>
      </c>
      <c r="L207" s="5" t="s">
        <v>257</v>
      </c>
    </row>
    <row r="208" spans="1:13" x14ac:dyDescent="0.3">
      <c r="B208" s="28"/>
      <c r="C208" s="28"/>
      <c r="D208" s="28"/>
      <c r="E208" s="28"/>
      <c r="F208" s="28"/>
      <c r="G208" s="5">
        <v>7754552</v>
      </c>
      <c r="H208" s="5">
        <v>7769287</v>
      </c>
      <c r="I208" s="5">
        <v>14736</v>
      </c>
      <c r="J208" s="5" t="s">
        <v>138</v>
      </c>
      <c r="K208" s="5" t="s">
        <v>258</v>
      </c>
      <c r="L208" s="5" t="s">
        <v>258</v>
      </c>
    </row>
    <row r="209" spans="2:13" x14ac:dyDescent="0.3">
      <c r="B209" s="28"/>
      <c r="C209" s="28"/>
      <c r="D209" s="28"/>
      <c r="E209" s="28"/>
      <c r="F209" s="28"/>
      <c r="G209" s="5">
        <v>7769404</v>
      </c>
      <c r="H209" s="5">
        <v>7774754</v>
      </c>
      <c r="I209" s="5">
        <v>5351</v>
      </c>
      <c r="J209" s="5" t="s">
        <v>131</v>
      </c>
      <c r="K209" s="5" t="s">
        <v>259</v>
      </c>
      <c r="L209" s="5" t="s">
        <v>259</v>
      </c>
    </row>
    <row r="210" spans="2:13" x14ac:dyDescent="0.3">
      <c r="B210" s="28"/>
      <c r="C210" s="28"/>
      <c r="D210" s="28"/>
      <c r="E210" s="28"/>
      <c r="F210" s="28"/>
      <c r="G210" s="5">
        <v>7780924</v>
      </c>
      <c r="H210" s="5">
        <v>7784571</v>
      </c>
      <c r="I210" s="5">
        <v>3648</v>
      </c>
      <c r="J210" s="5" t="s">
        <v>138</v>
      </c>
      <c r="K210" s="5" t="s">
        <v>260</v>
      </c>
      <c r="L210" s="5" t="s">
        <v>260</v>
      </c>
    </row>
    <row r="211" spans="2:13" x14ac:dyDescent="0.3">
      <c r="B211" s="28"/>
      <c r="C211" s="28"/>
      <c r="D211" s="28"/>
      <c r="E211" s="28"/>
      <c r="F211" s="28"/>
      <c r="G211" s="5">
        <v>7784765</v>
      </c>
      <c r="H211" s="5">
        <v>7790759</v>
      </c>
      <c r="I211" s="5">
        <v>5995</v>
      </c>
      <c r="J211" s="5" t="s">
        <v>138</v>
      </c>
      <c r="K211" s="5" t="s">
        <v>261</v>
      </c>
      <c r="L211" s="5" t="s">
        <v>261</v>
      </c>
    </row>
    <row r="212" spans="2:13" x14ac:dyDescent="0.3">
      <c r="B212" s="28"/>
      <c r="C212" s="28"/>
      <c r="D212" s="28"/>
      <c r="E212" s="28"/>
      <c r="F212" s="28"/>
      <c r="G212" s="5">
        <v>7788763</v>
      </c>
      <c r="H212" s="5">
        <v>7794155</v>
      </c>
      <c r="I212" s="5">
        <v>5393</v>
      </c>
      <c r="J212" s="5" t="s">
        <v>131</v>
      </c>
      <c r="K212" s="5" t="s">
        <v>262</v>
      </c>
      <c r="L212" s="5" t="s">
        <v>262</v>
      </c>
    </row>
    <row r="213" spans="2:13" x14ac:dyDescent="0.3">
      <c r="B213" s="28"/>
      <c r="C213" s="28"/>
      <c r="D213" s="28"/>
      <c r="E213" s="28"/>
      <c r="F213" s="28"/>
      <c r="G213" s="5">
        <v>7911058</v>
      </c>
      <c r="H213" s="5">
        <v>7912979</v>
      </c>
      <c r="I213" s="5">
        <v>1922</v>
      </c>
      <c r="J213" s="5" t="s">
        <v>138</v>
      </c>
      <c r="K213" s="5" t="s">
        <v>212</v>
      </c>
      <c r="L213" s="5" t="s">
        <v>212</v>
      </c>
    </row>
    <row r="214" spans="2:13" x14ac:dyDescent="0.3">
      <c r="B214" s="28"/>
      <c r="C214" s="28"/>
      <c r="D214" s="28"/>
      <c r="E214" s="28"/>
      <c r="F214" s="28"/>
      <c r="G214" s="5">
        <v>7926032</v>
      </c>
      <c r="H214" s="5">
        <v>7927774</v>
      </c>
      <c r="I214" s="5">
        <v>1743</v>
      </c>
      <c r="J214" s="5" t="s">
        <v>138</v>
      </c>
      <c r="K214" s="5" t="s">
        <v>214</v>
      </c>
      <c r="L214" s="5" t="s">
        <v>214</v>
      </c>
    </row>
    <row r="215" spans="2:13" x14ac:dyDescent="0.3">
      <c r="B215" s="28"/>
      <c r="C215" s="28"/>
      <c r="D215" s="28"/>
      <c r="E215" s="28"/>
      <c r="F215" s="28"/>
      <c r="G215" s="5">
        <v>7934064</v>
      </c>
      <c r="H215" s="5">
        <v>7939728</v>
      </c>
      <c r="I215" s="5">
        <v>5665</v>
      </c>
      <c r="J215" s="5" t="s">
        <v>138</v>
      </c>
      <c r="K215" s="5" t="s">
        <v>216</v>
      </c>
      <c r="L215" s="5" t="s">
        <v>216</v>
      </c>
    </row>
    <row r="216" spans="2:13" x14ac:dyDescent="0.3">
      <c r="B216" s="28"/>
      <c r="C216" s="28"/>
      <c r="D216" s="28"/>
      <c r="E216" s="28"/>
      <c r="F216" s="28"/>
      <c r="G216" s="5">
        <v>7940741</v>
      </c>
      <c r="H216" s="5">
        <v>7944275</v>
      </c>
      <c r="I216" s="5">
        <v>3535</v>
      </c>
      <c r="J216" s="5" t="s">
        <v>138</v>
      </c>
      <c r="K216" s="5" t="s">
        <v>218</v>
      </c>
      <c r="L216" s="5" t="s">
        <v>218</v>
      </c>
    </row>
    <row r="217" spans="2:13" x14ac:dyDescent="0.3">
      <c r="B217" s="5" t="s">
        <v>63</v>
      </c>
      <c r="C217" s="5" t="s">
        <v>205</v>
      </c>
      <c r="D217" s="5">
        <v>7513699</v>
      </c>
      <c r="E217" s="5">
        <v>7609472</v>
      </c>
      <c r="F217" s="5">
        <f>(E217-D217)/1000</f>
        <v>95.772999999999996</v>
      </c>
      <c r="G217" s="5">
        <v>7562304</v>
      </c>
      <c r="H217" s="5">
        <v>7564232</v>
      </c>
      <c r="I217" s="5">
        <v>1929</v>
      </c>
      <c r="J217" s="5" t="s">
        <v>138</v>
      </c>
      <c r="K217" s="5" t="s">
        <v>263</v>
      </c>
      <c r="L217" s="5" t="s">
        <v>263</v>
      </c>
      <c r="M217" s="5" t="s">
        <v>264</v>
      </c>
    </row>
    <row r="218" spans="2:13" x14ac:dyDescent="0.3">
      <c r="B218" s="28" t="s">
        <v>64</v>
      </c>
      <c r="C218" s="28" t="s">
        <v>205</v>
      </c>
      <c r="D218" s="28">
        <v>7134273</v>
      </c>
      <c r="E218" s="28">
        <v>7189349</v>
      </c>
      <c r="F218" s="28">
        <f>(E218-D218)/1000</f>
        <v>55.076000000000001</v>
      </c>
      <c r="G218" s="5">
        <v>7142602</v>
      </c>
      <c r="H218" s="5">
        <v>7143106</v>
      </c>
      <c r="I218" s="5">
        <v>505</v>
      </c>
      <c r="J218" s="5" t="s">
        <v>138</v>
      </c>
      <c r="K218" s="5" t="s">
        <v>244</v>
      </c>
      <c r="L218" s="5" t="s">
        <v>244</v>
      </c>
      <c r="M218" s="5" t="s">
        <v>245</v>
      </c>
    </row>
    <row r="219" spans="2:13" x14ac:dyDescent="0.3">
      <c r="B219" s="28"/>
      <c r="C219" s="28"/>
      <c r="D219" s="28"/>
      <c r="E219" s="28"/>
      <c r="F219" s="28"/>
      <c r="G219" s="5">
        <v>7146490</v>
      </c>
      <c r="H219" s="5">
        <v>7147094</v>
      </c>
      <c r="I219" s="5">
        <v>605</v>
      </c>
      <c r="J219" s="5" t="s">
        <v>138</v>
      </c>
      <c r="K219" s="5" t="s">
        <v>246</v>
      </c>
      <c r="L219" s="5" t="s">
        <v>246</v>
      </c>
      <c r="M219" s="5" t="s">
        <v>245</v>
      </c>
    </row>
    <row r="220" spans="2:13" x14ac:dyDescent="0.3">
      <c r="B220" s="28"/>
      <c r="C220" s="28"/>
      <c r="D220" s="28"/>
      <c r="E220" s="28"/>
      <c r="F220" s="28"/>
      <c r="G220" s="5">
        <v>7146490</v>
      </c>
      <c r="H220" s="5">
        <v>7166989</v>
      </c>
      <c r="I220" s="5">
        <v>20500</v>
      </c>
      <c r="J220" s="5" t="s">
        <v>131</v>
      </c>
      <c r="K220" s="5" t="s">
        <v>247</v>
      </c>
      <c r="L220" s="5" t="s">
        <v>247</v>
      </c>
      <c r="M220" s="5" t="s">
        <v>150</v>
      </c>
    </row>
    <row r="221" spans="2:13" x14ac:dyDescent="0.3">
      <c r="B221" s="28"/>
      <c r="C221" s="28"/>
      <c r="D221" s="28"/>
      <c r="E221" s="28"/>
      <c r="F221" s="28"/>
      <c r="G221" s="5">
        <v>7149438</v>
      </c>
      <c r="H221" s="5">
        <v>7150310</v>
      </c>
      <c r="I221" s="5">
        <v>873</v>
      </c>
      <c r="J221" s="5" t="s">
        <v>138</v>
      </c>
      <c r="K221" s="5" t="s">
        <v>248</v>
      </c>
      <c r="L221" s="5" t="s">
        <v>248</v>
      </c>
      <c r="M221" s="5" t="s">
        <v>245</v>
      </c>
    </row>
    <row r="222" spans="2:13" x14ac:dyDescent="0.3">
      <c r="B222" s="28"/>
      <c r="C222" s="28"/>
      <c r="D222" s="28"/>
      <c r="E222" s="28"/>
      <c r="F222" s="28"/>
      <c r="G222" s="5">
        <v>7153329</v>
      </c>
      <c r="H222" s="5">
        <v>7156564</v>
      </c>
      <c r="I222" s="5">
        <v>3236</v>
      </c>
      <c r="J222" s="5" t="s">
        <v>138</v>
      </c>
      <c r="K222" s="5" t="s">
        <v>249</v>
      </c>
      <c r="L222" s="5" t="s">
        <v>249</v>
      </c>
      <c r="M222" s="5" t="s">
        <v>245</v>
      </c>
    </row>
    <row r="223" spans="2:13" x14ac:dyDescent="0.3">
      <c r="B223" s="28"/>
      <c r="C223" s="28"/>
      <c r="D223" s="28"/>
      <c r="E223" s="28"/>
      <c r="F223" s="28"/>
      <c r="G223" s="5">
        <v>7156644</v>
      </c>
      <c r="H223" s="5">
        <v>7159733</v>
      </c>
      <c r="I223" s="5">
        <v>3090</v>
      </c>
      <c r="J223" s="5" t="s">
        <v>138</v>
      </c>
      <c r="K223" s="5" t="s">
        <v>250</v>
      </c>
      <c r="L223" s="5" t="s">
        <v>250</v>
      </c>
      <c r="M223" s="5" t="s">
        <v>245</v>
      </c>
    </row>
    <row r="224" spans="2:13" x14ac:dyDescent="0.3">
      <c r="B224" s="28"/>
      <c r="C224" s="28"/>
      <c r="D224" s="28"/>
      <c r="E224" s="28"/>
      <c r="F224" s="28"/>
      <c r="G224" s="5">
        <v>7159790</v>
      </c>
      <c r="H224" s="5">
        <v>7162995</v>
      </c>
      <c r="I224" s="5">
        <v>3206</v>
      </c>
      <c r="J224" s="5" t="s">
        <v>138</v>
      </c>
      <c r="K224" s="5" t="s">
        <v>251</v>
      </c>
      <c r="L224" s="5" t="s">
        <v>251</v>
      </c>
      <c r="M224" s="5" t="s">
        <v>245</v>
      </c>
    </row>
    <row r="225" spans="1:13" x14ac:dyDescent="0.3">
      <c r="B225" s="28"/>
      <c r="C225" s="28"/>
      <c r="D225" s="28"/>
      <c r="E225" s="28"/>
      <c r="F225" s="28"/>
      <c r="G225" s="5">
        <v>7163040</v>
      </c>
      <c r="H225" s="5">
        <v>7166454</v>
      </c>
      <c r="I225" s="5">
        <v>3415</v>
      </c>
      <c r="J225" s="5" t="s">
        <v>138</v>
      </c>
      <c r="K225" s="5" t="s">
        <v>252</v>
      </c>
      <c r="L225" s="5" t="s">
        <v>252</v>
      </c>
      <c r="M225" s="5" t="s">
        <v>245</v>
      </c>
    </row>
    <row r="226" spans="1:13" x14ac:dyDescent="0.3">
      <c r="B226" s="28"/>
      <c r="C226" s="28"/>
      <c r="D226" s="28"/>
      <c r="E226" s="28"/>
      <c r="F226" s="28"/>
      <c r="G226" s="5">
        <v>7166612</v>
      </c>
      <c r="H226" s="5">
        <v>7170573</v>
      </c>
      <c r="I226" s="5">
        <v>3962</v>
      </c>
      <c r="J226" s="5" t="s">
        <v>138</v>
      </c>
      <c r="K226" s="5" t="s">
        <v>253</v>
      </c>
      <c r="L226" s="5" t="s">
        <v>253</v>
      </c>
      <c r="M226" s="5" t="s">
        <v>245</v>
      </c>
    </row>
    <row r="227" spans="1:13" x14ac:dyDescent="0.3">
      <c r="B227" s="28"/>
      <c r="C227" s="28"/>
      <c r="D227" s="28"/>
      <c r="E227" s="28"/>
      <c r="F227" s="28"/>
      <c r="G227" s="5">
        <v>7172675</v>
      </c>
      <c r="H227" s="5">
        <v>7173046</v>
      </c>
      <c r="I227" s="5">
        <v>372</v>
      </c>
      <c r="J227" s="5" t="s">
        <v>138</v>
      </c>
      <c r="K227" s="5" t="s">
        <v>254</v>
      </c>
      <c r="L227" s="5" t="s">
        <v>254</v>
      </c>
      <c r="M227" s="5" t="s">
        <v>245</v>
      </c>
    </row>
    <row r="228" spans="1:13" x14ac:dyDescent="0.3">
      <c r="B228" s="28"/>
      <c r="C228" s="28"/>
      <c r="D228" s="28"/>
      <c r="E228" s="28"/>
      <c r="F228" s="28"/>
      <c r="G228" s="5">
        <v>7173224</v>
      </c>
      <c r="H228" s="5">
        <v>7173881</v>
      </c>
      <c r="I228" s="5">
        <v>658</v>
      </c>
      <c r="J228" s="5" t="s">
        <v>138</v>
      </c>
      <c r="K228" s="5" t="s">
        <v>255</v>
      </c>
      <c r="L228" s="5" t="s">
        <v>255</v>
      </c>
      <c r="M228" s="5" t="s">
        <v>245</v>
      </c>
    </row>
    <row r="229" spans="1:13" x14ac:dyDescent="0.3">
      <c r="B229" s="28"/>
      <c r="C229" s="28"/>
      <c r="D229" s="28"/>
      <c r="E229" s="28"/>
      <c r="F229" s="28"/>
      <c r="G229" s="5">
        <v>7176551</v>
      </c>
      <c r="H229" s="5">
        <v>7177176</v>
      </c>
      <c r="I229" s="5">
        <v>626</v>
      </c>
      <c r="J229" s="5" t="s">
        <v>138</v>
      </c>
      <c r="K229" s="5" t="s">
        <v>256</v>
      </c>
      <c r="L229" s="5" t="s">
        <v>256</v>
      </c>
      <c r="M229" s="5" t="s">
        <v>245</v>
      </c>
    </row>
    <row r="230" spans="1:13" x14ac:dyDescent="0.3">
      <c r="B230" s="5" t="s">
        <v>65</v>
      </c>
      <c r="C230" s="5" t="s">
        <v>312</v>
      </c>
      <c r="D230" s="5">
        <v>384207415</v>
      </c>
      <c r="E230" s="5">
        <v>384377012</v>
      </c>
      <c r="F230" s="5">
        <f>(E230-D230)/1000</f>
        <v>169.59700000000001</v>
      </c>
      <c r="G230" s="5">
        <v>384278553</v>
      </c>
      <c r="H230" s="5">
        <v>384282331</v>
      </c>
      <c r="I230" s="5">
        <v>3779</v>
      </c>
      <c r="J230" s="5" t="s">
        <v>138</v>
      </c>
      <c r="K230" s="5" t="s">
        <v>333</v>
      </c>
      <c r="L230" s="5" t="s">
        <v>333</v>
      </c>
      <c r="M230" s="5" t="s">
        <v>334</v>
      </c>
    </row>
    <row r="231" spans="1:13" ht="16.8" x14ac:dyDescent="0.3">
      <c r="A231" s="6" t="s">
        <v>128</v>
      </c>
    </row>
    <row r="232" spans="1:13" x14ac:dyDescent="0.3">
      <c r="B232" s="28" t="s">
        <v>66</v>
      </c>
      <c r="C232" s="28" t="s">
        <v>130</v>
      </c>
      <c r="D232" s="28">
        <v>331944106</v>
      </c>
      <c r="E232" s="28">
        <v>332154103</v>
      </c>
      <c r="F232" s="28">
        <f>(E232-D232)/1000</f>
        <v>209.99700000000001</v>
      </c>
      <c r="G232" s="5">
        <v>331856462</v>
      </c>
      <c r="H232" s="5">
        <v>331859406</v>
      </c>
      <c r="I232" s="5">
        <v>2945</v>
      </c>
      <c r="J232" s="5" t="s">
        <v>138</v>
      </c>
      <c r="K232" s="5" t="s">
        <v>141</v>
      </c>
      <c r="L232" s="5" t="s">
        <v>141</v>
      </c>
      <c r="M232" s="5" t="s">
        <v>142</v>
      </c>
    </row>
    <row r="233" spans="1:13" x14ac:dyDescent="0.3">
      <c r="B233" s="28"/>
      <c r="C233" s="28"/>
      <c r="D233" s="28"/>
      <c r="E233" s="28"/>
      <c r="F233" s="28"/>
      <c r="G233" s="5">
        <v>331974543</v>
      </c>
      <c r="H233" s="5">
        <v>331975086</v>
      </c>
      <c r="I233" s="5">
        <v>544</v>
      </c>
      <c r="J233" s="5" t="s">
        <v>138</v>
      </c>
      <c r="K233" s="5" t="s">
        <v>143</v>
      </c>
      <c r="L233" s="5" t="s">
        <v>143</v>
      </c>
      <c r="M233" s="5" t="s">
        <v>144</v>
      </c>
    </row>
    <row r="234" spans="1:13" x14ac:dyDescent="0.3">
      <c r="B234" s="28"/>
      <c r="C234" s="28"/>
      <c r="D234" s="28"/>
      <c r="E234" s="28"/>
      <c r="F234" s="28"/>
      <c r="G234" s="5">
        <v>332006524</v>
      </c>
      <c r="H234" s="5">
        <v>332009815</v>
      </c>
      <c r="I234" s="5">
        <v>3292</v>
      </c>
      <c r="J234" s="5" t="s">
        <v>131</v>
      </c>
      <c r="K234" s="5" t="s">
        <v>145</v>
      </c>
      <c r="L234" s="5" t="s">
        <v>145</v>
      </c>
      <c r="M234" s="5" t="s">
        <v>146</v>
      </c>
    </row>
    <row r="235" spans="1:13" x14ac:dyDescent="0.3">
      <c r="B235" s="28"/>
      <c r="C235" s="28"/>
      <c r="D235" s="28"/>
      <c r="E235" s="28"/>
      <c r="F235" s="28"/>
      <c r="G235" s="5">
        <v>332029009</v>
      </c>
      <c r="H235" s="5">
        <v>332029644</v>
      </c>
      <c r="I235" s="5">
        <v>636</v>
      </c>
      <c r="J235" s="5" t="s">
        <v>131</v>
      </c>
      <c r="K235" s="5" t="s">
        <v>147</v>
      </c>
      <c r="L235" s="5" t="s">
        <v>147</v>
      </c>
      <c r="M235" s="5" t="s">
        <v>148</v>
      </c>
    </row>
    <row r="236" spans="1:13" x14ac:dyDescent="0.3">
      <c r="B236" s="28" t="s">
        <v>67</v>
      </c>
      <c r="C236" s="28" t="s">
        <v>205</v>
      </c>
      <c r="D236" s="28">
        <v>246016345</v>
      </c>
      <c r="E236" s="28">
        <v>246135942</v>
      </c>
      <c r="F236" s="28">
        <f>(E236-D236)/1000</f>
        <v>119.59699999999999</v>
      </c>
      <c r="G236" s="5">
        <v>246025905</v>
      </c>
      <c r="H236" s="5">
        <v>246028259</v>
      </c>
      <c r="I236" s="5">
        <v>2355</v>
      </c>
      <c r="J236" s="5" t="s">
        <v>138</v>
      </c>
      <c r="K236" s="5" t="s">
        <v>273</v>
      </c>
      <c r="L236" s="5" t="s">
        <v>273</v>
      </c>
      <c r="M236" s="5" t="s">
        <v>274</v>
      </c>
    </row>
    <row r="237" spans="1:13" x14ac:dyDescent="0.3">
      <c r="B237" s="28"/>
      <c r="C237" s="28"/>
      <c r="D237" s="28"/>
      <c r="E237" s="28"/>
      <c r="F237" s="28"/>
      <c r="G237" s="5">
        <v>246119635</v>
      </c>
      <c r="H237" s="5">
        <v>246122539</v>
      </c>
      <c r="I237" s="5">
        <v>2905</v>
      </c>
      <c r="J237" s="5" t="s">
        <v>138</v>
      </c>
      <c r="K237" s="5" t="s">
        <v>275</v>
      </c>
      <c r="L237" s="5" t="s">
        <v>275</v>
      </c>
      <c r="M237" s="5" t="s">
        <v>276</v>
      </c>
    </row>
    <row r="238" spans="1:13" x14ac:dyDescent="0.3">
      <c r="B238" s="13" t="s">
        <v>68</v>
      </c>
      <c r="C238" s="5" t="s">
        <v>265</v>
      </c>
      <c r="D238" s="10">
        <v>473949775</v>
      </c>
      <c r="E238" s="10">
        <v>473980699</v>
      </c>
      <c r="F238" s="5">
        <f>(E238-D238)/1000</f>
        <v>30.923999999999999</v>
      </c>
      <c r="G238" s="5">
        <v>473951195</v>
      </c>
      <c r="H238" s="5">
        <v>473958317</v>
      </c>
      <c r="I238" s="5">
        <v>7123</v>
      </c>
      <c r="J238" s="5" t="s">
        <v>131</v>
      </c>
      <c r="K238" s="13" t="s">
        <v>271</v>
      </c>
      <c r="L238" s="13" t="s">
        <v>271</v>
      </c>
      <c r="M238" s="5" t="s">
        <v>272</v>
      </c>
    </row>
    <row r="239" spans="1:13" x14ac:dyDescent="0.3">
      <c r="B239" s="5" t="s">
        <v>69</v>
      </c>
      <c r="C239" s="5" t="s">
        <v>228</v>
      </c>
    </row>
    <row r="240" spans="1:13" ht="16.8" x14ac:dyDescent="0.3">
      <c r="A240" s="6" t="s">
        <v>129</v>
      </c>
    </row>
    <row r="241" spans="1:13" x14ac:dyDescent="0.3">
      <c r="B241" s="5" t="s">
        <v>17</v>
      </c>
      <c r="C241" s="5" t="s">
        <v>265</v>
      </c>
      <c r="D241" s="5">
        <v>62861113</v>
      </c>
      <c r="E241" s="5">
        <v>62981209</v>
      </c>
      <c r="F241" s="5">
        <f>(E241-D241)/1000</f>
        <v>120.096</v>
      </c>
      <c r="G241" s="5">
        <v>62878470</v>
      </c>
      <c r="H241" s="5">
        <v>62879274</v>
      </c>
      <c r="I241" s="5">
        <v>805</v>
      </c>
      <c r="J241" s="5" t="s">
        <v>131</v>
      </c>
      <c r="K241" s="5" t="s">
        <v>266</v>
      </c>
      <c r="L241" s="5" t="s">
        <v>266</v>
      </c>
      <c r="M241" s="5" t="s">
        <v>150</v>
      </c>
    </row>
    <row r="242" spans="1:13" x14ac:dyDescent="0.3">
      <c r="B242" s="5" t="s">
        <v>70</v>
      </c>
      <c r="C242" s="5" t="s">
        <v>228</v>
      </c>
    </row>
    <row r="243" spans="1:13" x14ac:dyDescent="0.3">
      <c r="B243" s="5" t="s">
        <v>71</v>
      </c>
      <c r="C243" s="5" t="s">
        <v>228</v>
      </c>
    </row>
    <row r="244" spans="1:13" s="26" customFormat="1" ht="18.600000000000001" x14ac:dyDescent="0.3">
      <c r="A244" s="26" t="s">
        <v>72</v>
      </c>
    </row>
    <row r="245" spans="1:13" ht="16.8" x14ac:dyDescent="0.3">
      <c r="A245" s="6" t="s">
        <v>125</v>
      </c>
    </row>
    <row r="246" spans="1:13" x14ac:dyDescent="0.3">
      <c r="B246" s="5" t="s">
        <v>73</v>
      </c>
      <c r="C246" s="5" t="s">
        <v>228</v>
      </c>
    </row>
    <row r="247" spans="1:13" ht="16.8" x14ac:dyDescent="0.3">
      <c r="A247" s="6" t="s">
        <v>128</v>
      </c>
    </row>
    <row r="248" spans="1:13" x14ac:dyDescent="0.3">
      <c r="B248" s="5" t="s">
        <v>74</v>
      </c>
      <c r="C248" s="5" t="s">
        <v>130</v>
      </c>
      <c r="D248" s="5">
        <v>253766217</v>
      </c>
      <c r="E248" s="5">
        <v>253777989</v>
      </c>
      <c r="F248" s="5">
        <f>(E248-D248)/1000</f>
        <v>11.772</v>
      </c>
      <c r="G248" s="5">
        <v>253770384</v>
      </c>
      <c r="H248" s="5">
        <v>253772378</v>
      </c>
      <c r="I248" s="5">
        <v>1995</v>
      </c>
      <c r="J248" s="5" t="s">
        <v>131</v>
      </c>
      <c r="K248" s="5" t="s">
        <v>136</v>
      </c>
      <c r="L248" s="5" t="s">
        <v>136</v>
      </c>
      <c r="M248" s="5" t="s">
        <v>137</v>
      </c>
    </row>
    <row r="249" spans="1:13" x14ac:dyDescent="0.3">
      <c r="B249" s="5" t="s">
        <v>75</v>
      </c>
      <c r="C249" s="5" t="s">
        <v>130</v>
      </c>
      <c r="D249" s="5">
        <v>253770239</v>
      </c>
      <c r="E249" s="5">
        <v>253772669</v>
      </c>
      <c r="F249" s="5">
        <f>(E249-D249)/1000</f>
        <v>2.4300000000000002</v>
      </c>
      <c r="G249" s="5">
        <v>253770384</v>
      </c>
      <c r="H249" s="5">
        <v>253772378</v>
      </c>
      <c r="I249" s="5">
        <v>1995</v>
      </c>
      <c r="J249" s="5" t="s">
        <v>131</v>
      </c>
      <c r="K249" s="5" t="s">
        <v>136</v>
      </c>
      <c r="L249" s="5" t="s">
        <v>136</v>
      </c>
      <c r="M249" s="5" t="s">
        <v>137</v>
      </c>
    </row>
    <row r="250" spans="1:13" x14ac:dyDescent="0.3">
      <c r="B250" s="28" t="s">
        <v>76</v>
      </c>
      <c r="C250" s="28" t="s">
        <v>205</v>
      </c>
      <c r="D250" s="28">
        <v>10115891</v>
      </c>
      <c r="E250" s="28">
        <v>10490059</v>
      </c>
      <c r="F250" s="28">
        <f>(E250-D250)/1000</f>
        <v>374.16800000000001</v>
      </c>
      <c r="G250" s="5">
        <v>10210863</v>
      </c>
      <c r="H250" s="5">
        <v>10213148</v>
      </c>
      <c r="I250" s="5">
        <v>2286</v>
      </c>
      <c r="J250" s="5" t="s">
        <v>138</v>
      </c>
      <c r="K250" s="5" t="s">
        <v>206</v>
      </c>
      <c r="L250" s="5" t="s">
        <v>206</v>
      </c>
      <c r="M250" s="5" t="s">
        <v>190</v>
      </c>
    </row>
    <row r="251" spans="1:13" x14ac:dyDescent="0.3">
      <c r="B251" s="28"/>
      <c r="C251" s="28"/>
      <c r="D251" s="28"/>
      <c r="E251" s="28"/>
      <c r="F251" s="28"/>
      <c r="G251" s="5">
        <v>10434970</v>
      </c>
      <c r="H251" s="5">
        <v>10436816</v>
      </c>
      <c r="I251" s="5">
        <v>1847</v>
      </c>
      <c r="J251" s="5" t="s">
        <v>131</v>
      </c>
      <c r="K251" s="5" t="s">
        <v>207</v>
      </c>
      <c r="L251" s="5" t="s">
        <v>207</v>
      </c>
      <c r="M251" s="5" t="s">
        <v>158</v>
      </c>
    </row>
    <row r="252" spans="1:13" x14ac:dyDescent="0.3">
      <c r="B252" s="28"/>
      <c r="C252" s="28"/>
      <c r="D252" s="28"/>
      <c r="E252" s="28"/>
      <c r="F252" s="28"/>
      <c r="G252" s="5">
        <v>10437959</v>
      </c>
      <c r="H252" s="5">
        <v>10440072</v>
      </c>
      <c r="I252" s="5">
        <v>2114</v>
      </c>
      <c r="J252" s="5" t="s">
        <v>138</v>
      </c>
      <c r="K252" s="5" t="s">
        <v>208</v>
      </c>
      <c r="L252" s="5" t="s">
        <v>208</v>
      </c>
      <c r="M252" s="5" t="s">
        <v>209</v>
      </c>
    </row>
    <row r="253" spans="1:13" x14ac:dyDescent="0.3">
      <c r="B253" s="28"/>
      <c r="C253" s="28"/>
      <c r="D253" s="28"/>
      <c r="E253" s="28"/>
      <c r="F253" s="28"/>
      <c r="G253" s="5">
        <v>10468925</v>
      </c>
      <c r="H253" s="5">
        <v>10471836</v>
      </c>
      <c r="I253" s="5">
        <v>2912</v>
      </c>
      <c r="J253" s="5" t="s">
        <v>138</v>
      </c>
      <c r="K253" s="5" t="s">
        <v>210</v>
      </c>
      <c r="L253" s="5" t="s">
        <v>210</v>
      </c>
      <c r="M253" s="5" t="s">
        <v>211</v>
      </c>
    </row>
    <row r="254" spans="1:13" x14ac:dyDescent="0.3">
      <c r="B254" s="28" t="s">
        <v>77</v>
      </c>
      <c r="C254" s="28" t="s">
        <v>205</v>
      </c>
      <c r="D254" s="28">
        <v>294648383</v>
      </c>
      <c r="E254" s="28">
        <v>294727743</v>
      </c>
      <c r="F254" s="28">
        <f>(E254-D254)/1000</f>
        <v>79.36</v>
      </c>
      <c r="G254" s="5">
        <v>294652677</v>
      </c>
      <c r="H254" s="5">
        <v>294655123</v>
      </c>
      <c r="I254" s="5">
        <v>2447</v>
      </c>
      <c r="J254" s="5" t="s">
        <v>131</v>
      </c>
      <c r="K254" s="5" t="s">
        <v>284</v>
      </c>
      <c r="L254" s="5" t="s">
        <v>284</v>
      </c>
      <c r="M254" s="5" t="s">
        <v>285</v>
      </c>
    </row>
    <row r="255" spans="1:13" x14ac:dyDescent="0.3">
      <c r="B255" s="28"/>
      <c r="C255" s="28"/>
      <c r="D255" s="28"/>
      <c r="E255" s="28"/>
      <c r="F255" s="28"/>
      <c r="G255" s="5">
        <v>294659878</v>
      </c>
      <c r="H255" s="5">
        <v>294661635</v>
      </c>
      <c r="I255" s="5">
        <v>1758</v>
      </c>
      <c r="J255" s="5" t="s">
        <v>138</v>
      </c>
      <c r="K255" s="5" t="s">
        <v>286</v>
      </c>
      <c r="L255" s="5" t="s">
        <v>287</v>
      </c>
      <c r="M255" s="5" t="s">
        <v>288</v>
      </c>
    </row>
    <row r="256" spans="1:13" x14ac:dyDescent="0.3">
      <c r="B256" s="28"/>
      <c r="C256" s="28"/>
      <c r="D256" s="28"/>
      <c r="E256" s="28"/>
      <c r="F256" s="28"/>
      <c r="G256" s="5">
        <v>294715554</v>
      </c>
      <c r="H256" s="5">
        <v>294717596</v>
      </c>
      <c r="I256" s="5">
        <v>2043</v>
      </c>
      <c r="J256" s="5" t="s">
        <v>138</v>
      </c>
      <c r="K256" s="5" t="s">
        <v>289</v>
      </c>
      <c r="L256" s="5" t="s">
        <v>289</v>
      </c>
      <c r="M256" s="5" t="s">
        <v>290</v>
      </c>
    </row>
    <row r="257" spans="1:13" x14ac:dyDescent="0.3">
      <c r="B257" s="5" t="s">
        <v>78</v>
      </c>
      <c r="C257" s="5" t="s">
        <v>228</v>
      </c>
    </row>
    <row r="258" spans="1:13" ht="14.4" customHeight="1" x14ac:dyDescent="0.3">
      <c r="B258" s="28" t="s">
        <v>79</v>
      </c>
      <c r="C258" s="29" t="s">
        <v>367</v>
      </c>
      <c r="D258" s="33">
        <v>405872472</v>
      </c>
      <c r="E258" s="33">
        <v>406031521</v>
      </c>
      <c r="F258" s="33">
        <v>159.05000000000001</v>
      </c>
      <c r="G258" s="5">
        <v>405901182</v>
      </c>
      <c r="H258" s="5">
        <v>405902269</v>
      </c>
      <c r="I258" s="5">
        <v>1088</v>
      </c>
      <c r="J258" s="5" t="s">
        <v>138</v>
      </c>
      <c r="K258" s="5" t="s">
        <v>426</v>
      </c>
      <c r="L258" s="5" t="s">
        <v>426</v>
      </c>
      <c r="M258" s="5" t="s">
        <v>153</v>
      </c>
    </row>
    <row r="259" spans="1:13" x14ac:dyDescent="0.3">
      <c r="B259" s="28"/>
      <c r="C259" s="29"/>
      <c r="D259" s="33"/>
      <c r="E259" s="33"/>
      <c r="F259" s="33"/>
      <c r="G259" s="5">
        <v>405987545</v>
      </c>
      <c r="H259" s="5">
        <v>405988143</v>
      </c>
      <c r="I259" s="5">
        <v>599</v>
      </c>
      <c r="J259" s="5" t="s">
        <v>138</v>
      </c>
      <c r="K259" s="5" t="s">
        <v>427</v>
      </c>
      <c r="L259" s="5" t="s">
        <v>427</v>
      </c>
      <c r="M259" s="5" t="s">
        <v>268</v>
      </c>
    </row>
    <row r="260" spans="1:13" ht="16.8" x14ac:dyDescent="0.3">
      <c r="A260" s="6" t="s">
        <v>129</v>
      </c>
      <c r="D260" s="9"/>
      <c r="E260" s="9"/>
      <c r="F260" s="9"/>
    </row>
    <row r="261" spans="1:13" ht="14.4" customHeight="1" x14ac:dyDescent="0.3">
      <c r="B261" s="28" t="s">
        <v>80</v>
      </c>
      <c r="C261" s="28" t="s">
        <v>367</v>
      </c>
      <c r="D261" s="33">
        <v>404513165</v>
      </c>
      <c r="E261" s="33">
        <v>404655534</v>
      </c>
      <c r="F261" s="33">
        <v>142.37</v>
      </c>
      <c r="G261" s="5">
        <v>404614616</v>
      </c>
      <c r="H261" s="5">
        <v>404616659</v>
      </c>
      <c r="I261" s="5">
        <v>2044</v>
      </c>
      <c r="J261" s="5" t="s">
        <v>138</v>
      </c>
      <c r="K261" s="5" t="s">
        <v>420</v>
      </c>
      <c r="L261" s="5" t="s">
        <v>420</v>
      </c>
      <c r="M261" s="5" t="s">
        <v>421</v>
      </c>
    </row>
    <row r="262" spans="1:13" x14ac:dyDescent="0.3">
      <c r="B262" s="28"/>
      <c r="C262" s="28"/>
      <c r="D262" s="33"/>
      <c r="E262" s="33"/>
      <c r="F262" s="33"/>
      <c r="G262" s="5">
        <v>404624090</v>
      </c>
      <c r="H262" s="5">
        <v>404625704</v>
      </c>
      <c r="I262" s="5">
        <v>1615</v>
      </c>
      <c r="J262" s="5" t="s">
        <v>138</v>
      </c>
      <c r="K262" s="5" t="s">
        <v>422</v>
      </c>
      <c r="L262" s="5" t="s">
        <v>422</v>
      </c>
      <c r="M262" s="5" t="s">
        <v>423</v>
      </c>
    </row>
    <row r="263" spans="1:13" x14ac:dyDescent="0.3">
      <c r="B263" s="28"/>
      <c r="C263" s="28"/>
      <c r="D263" s="33"/>
      <c r="E263" s="33"/>
      <c r="F263" s="33"/>
      <c r="G263" s="5">
        <v>404645044</v>
      </c>
      <c r="H263" s="5">
        <v>404656417</v>
      </c>
      <c r="I263" s="5">
        <v>11374</v>
      </c>
      <c r="J263" s="5" t="s">
        <v>138</v>
      </c>
      <c r="K263" s="5" t="s">
        <v>424</v>
      </c>
      <c r="L263" s="5" t="s">
        <v>424</v>
      </c>
      <c r="M263" s="5" t="s">
        <v>425</v>
      </c>
    </row>
    <row r="264" spans="1:13" ht="14.4" customHeight="1" x14ac:dyDescent="0.3">
      <c r="B264" s="28" t="s">
        <v>81</v>
      </c>
      <c r="C264" s="28" t="s">
        <v>312</v>
      </c>
      <c r="D264" s="5">
        <v>384200390</v>
      </c>
      <c r="E264" s="5">
        <v>384329150</v>
      </c>
      <c r="F264" s="5">
        <f>(E264-D264)/1000</f>
        <v>128.76</v>
      </c>
      <c r="G264" s="5">
        <v>384197982</v>
      </c>
      <c r="H264" s="5">
        <v>384207181</v>
      </c>
      <c r="I264" s="5">
        <v>9200</v>
      </c>
      <c r="J264" s="5" t="s">
        <v>131</v>
      </c>
      <c r="K264" s="5" t="s">
        <v>331</v>
      </c>
      <c r="L264" s="5" t="s">
        <v>331</v>
      </c>
      <c r="M264" s="5" t="s">
        <v>332</v>
      </c>
    </row>
    <row r="265" spans="1:13" x14ac:dyDescent="0.3">
      <c r="B265" s="28"/>
      <c r="C265" s="28"/>
      <c r="F265" s="9"/>
      <c r="G265" s="5">
        <v>384278553</v>
      </c>
      <c r="H265" s="5">
        <v>384282331</v>
      </c>
      <c r="I265" s="5">
        <v>3779</v>
      </c>
      <c r="J265" s="5" t="s">
        <v>138</v>
      </c>
      <c r="K265" s="5" t="s">
        <v>333</v>
      </c>
      <c r="L265" s="5" t="s">
        <v>333</v>
      </c>
      <c r="M265" s="5" t="s">
        <v>334</v>
      </c>
    </row>
    <row r="266" spans="1:13" s="26" customFormat="1" ht="18.600000000000001" x14ac:dyDescent="0.3">
      <c r="A266" s="26" t="s">
        <v>575</v>
      </c>
    </row>
    <row r="267" spans="1:13" s="47" customFormat="1" ht="16.8" x14ac:dyDescent="0.3">
      <c r="A267" s="47" t="s">
        <v>125</v>
      </c>
    </row>
    <row r="268" spans="1:13" x14ac:dyDescent="0.25">
      <c r="B268" s="5" t="s">
        <v>578</v>
      </c>
      <c r="C268" s="5" t="s">
        <v>265</v>
      </c>
      <c r="D268" s="14">
        <v>376955831</v>
      </c>
      <c r="E268" s="14">
        <v>377046677</v>
      </c>
      <c r="F268" s="14">
        <v>90.846000000000004</v>
      </c>
      <c r="G268" s="14">
        <v>377028771</v>
      </c>
      <c r="H268" s="14">
        <v>377032515</v>
      </c>
      <c r="I268" s="14">
        <v>3745</v>
      </c>
      <c r="J268" s="14" t="s">
        <v>138</v>
      </c>
      <c r="K268" s="14" t="s">
        <v>576</v>
      </c>
      <c r="L268" s="14" t="s">
        <v>576</v>
      </c>
      <c r="M268" s="14" t="s">
        <v>577</v>
      </c>
    </row>
    <row r="269" spans="1:13" s="47" customFormat="1" ht="16.8" x14ac:dyDescent="0.3">
      <c r="A269" s="47" t="s">
        <v>129</v>
      </c>
    </row>
    <row r="270" spans="1:13" x14ac:dyDescent="0.3">
      <c r="B270" s="5" t="s">
        <v>579</v>
      </c>
      <c r="C270" s="5" t="s">
        <v>265</v>
      </c>
      <c r="D270" s="5">
        <v>62448675</v>
      </c>
      <c r="E270" s="5">
        <v>62510442</v>
      </c>
      <c r="F270" s="5">
        <v>61.767000000000003</v>
      </c>
      <c r="G270" s="5">
        <v>62474557</v>
      </c>
      <c r="H270" s="5">
        <v>62475080</v>
      </c>
      <c r="I270" s="5">
        <v>524</v>
      </c>
      <c r="J270" s="5" t="s">
        <v>131</v>
      </c>
      <c r="K270" s="5" t="s">
        <v>580</v>
      </c>
      <c r="L270" s="5" t="s">
        <v>580</v>
      </c>
      <c r="M270" s="5" t="s">
        <v>158</v>
      </c>
    </row>
    <row r="271" spans="1:13" x14ac:dyDescent="0.25">
      <c r="B271" s="1" t="s">
        <v>581</v>
      </c>
      <c r="C271" s="5" t="s">
        <v>265</v>
      </c>
      <c r="D271" s="5">
        <v>228258550</v>
      </c>
      <c r="E271" s="5">
        <v>228363463</v>
      </c>
      <c r="F271" s="5">
        <v>104.913</v>
      </c>
      <c r="G271" s="5">
        <v>228317244</v>
      </c>
      <c r="H271" s="5">
        <v>228322632</v>
      </c>
      <c r="I271" s="5">
        <v>5389</v>
      </c>
      <c r="J271" s="5" t="s">
        <v>131</v>
      </c>
      <c r="K271" s="5" t="s">
        <v>582</v>
      </c>
      <c r="L271" s="5" t="s">
        <v>582</v>
      </c>
      <c r="M271" s="5" t="s">
        <v>583</v>
      </c>
    </row>
    <row r="272" spans="1:13" ht="13.8" customHeight="1" x14ac:dyDescent="0.25">
      <c r="B272" s="15" t="s">
        <v>584</v>
      </c>
      <c r="C272" s="5" t="s">
        <v>130</v>
      </c>
      <c r="D272" s="28">
        <v>10990093</v>
      </c>
      <c r="E272" s="28">
        <v>11070592</v>
      </c>
      <c r="F272" s="28">
        <v>80.498999999999995</v>
      </c>
      <c r="G272" s="5">
        <v>11001580</v>
      </c>
      <c r="H272" s="5">
        <v>11002177</v>
      </c>
      <c r="I272" s="5">
        <v>598</v>
      </c>
      <c r="J272" s="5" t="s">
        <v>138</v>
      </c>
      <c r="K272" s="5" t="s">
        <v>585</v>
      </c>
      <c r="L272" s="5" t="s">
        <v>585</v>
      </c>
      <c r="M272" s="5" t="s">
        <v>586</v>
      </c>
    </row>
    <row r="273" spans="1:13" ht="13.8" customHeight="1" x14ac:dyDescent="0.3">
      <c r="D273" s="28"/>
      <c r="E273" s="28"/>
      <c r="F273" s="28"/>
      <c r="G273" s="5">
        <v>11060595</v>
      </c>
      <c r="H273" s="5">
        <v>11061325</v>
      </c>
      <c r="I273" s="5">
        <v>731</v>
      </c>
      <c r="J273" s="5" t="s">
        <v>131</v>
      </c>
      <c r="K273" s="5" t="s">
        <v>587</v>
      </c>
      <c r="L273" s="5" t="s">
        <v>587</v>
      </c>
      <c r="M273" s="5" t="s">
        <v>588</v>
      </c>
    </row>
    <row r="274" spans="1:13" ht="13.8" customHeight="1" x14ac:dyDescent="0.3">
      <c r="D274" s="28"/>
      <c r="E274" s="28"/>
      <c r="F274" s="28"/>
      <c r="G274" s="5">
        <v>11064684</v>
      </c>
      <c r="H274" s="5">
        <v>11071754</v>
      </c>
      <c r="I274" s="5">
        <v>7071</v>
      </c>
      <c r="J274" s="5" t="s">
        <v>138</v>
      </c>
      <c r="K274" s="13" t="s">
        <v>589</v>
      </c>
      <c r="L274" s="13" t="s">
        <v>589</v>
      </c>
      <c r="M274" s="5" t="s">
        <v>590</v>
      </c>
    </row>
    <row r="275" spans="1:13" s="26" customFormat="1" ht="18.600000000000001" x14ac:dyDescent="0.3">
      <c r="A275" s="26" t="s">
        <v>103</v>
      </c>
    </row>
    <row r="276" spans="1:13" s="47" customFormat="1" ht="16.8" x14ac:dyDescent="0.3">
      <c r="A276" s="47" t="s">
        <v>129</v>
      </c>
    </row>
    <row r="277" spans="1:13" x14ac:dyDescent="0.25">
      <c r="B277" s="16" t="s">
        <v>591</v>
      </c>
      <c r="C277" s="5" t="s">
        <v>228</v>
      </c>
    </row>
    <row r="280" spans="1:13" s="44" customFormat="1" ht="21" x14ac:dyDescent="0.3">
      <c r="A280" s="44" t="s">
        <v>643</v>
      </c>
    </row>
    <row r="281" spans="1:13" s="46" customFormat="1" ht="20.399999999999999" x14ac:dyDescent="0.35">
      <c r="A281" s="45" t="s">
        <v>0</v>
      </c>
    </row>
    <row r="282" spans="1:13" s="3" customFormat="1" ht="21" x14ac:dyDescent="0.4">
      <c r="B282" s="28" t="s">
        <v>82</v>
      </c>
      <c r="C282" s="28" t="s">
        <v>130</v>
      </c>
      <c r="D282" s="28">
        <v>40206996</v>
      </c>
      <c r="E282" s="28">
        <v>40625404</v>
      </c>
      <c r="F282" s="28">
        <f>(E282-D282)/1000</f>
        <v>418.40800000000002</v>
      </c>
      <c r="G282" s="14">
        <v>40254431</v>
      </c>
      <c r="H282" s="14">
        <v>40254905</v>
      </c>
      <c r="I282" s="14">
        <v>475</v>
      </c>
      <c r="J282" s="14" t="s">
        <v>138</v>
      </c>
      <c r="K282" s="14" t="s">
        <v>180</v>
      </c>
      <c r="L282" s="14" t="s">
        <v>180</v>
      </c>
      <c r="M282" s="14" t="s">
        <v>181</v>
      </c>
    </row>
    <row r="283" spans="1:13" s="3" customFormat="1" ht="21" x14ac:dyDescent="0.4">
      <c r="B283" s="28"/>
      <c r="C283" s="28"/>
      <c r="D283" s="28"/>
      <c r="E283" s="28"/>
      <c r="F283" s="28"/>
      <c r="G283" s="14">
        <v>40364746</v>
      </c>
      <c r="H283" s="14">
        <v>40367779</v>
      </c>
      <c r="I283" s="14">
        <v>3034</v>
      </c>
      <c r="J283" s="14" t="s">
        <v>138</v>
      </c>
      <c r="K283" s="14" t="s">
        <v>182</v>
      </c>
      <c r="L283" s="14" t="s">
        <v>182</v>
      </c>
      <c r="M283" s="14" t="s">
        <v>158</v>
      </c>
    </row>
    <row r="284" spans="1:13" s="3" customFormat="1" ht="21" x14ac:dyDescent="0.4">
      <c r="B284" s="28"/>
      <c r="C284" s="28"/>
      <c r="D284" s="28"/>
      <c r="E284" s="28"/>
      <c r="F284" s="28"/>
      <c r="G284" s="14">
        <v>40368734</v>
      </c>
      <c r="H284" s="14">
        <v>40370000</v>
      </c>
      <c r="I284" s="14">
        <v>1267</v>
      </c>
      <c r="J284" s="14" t="s">
        <v>131</v>
      </c>
      <c r="K284" s="14" t="s">
        <v>183</v>
      </c>
      <c r="L284" s="14" t="s">
        <v>183</v>
      </c>
      <c r="M284" s="14" t="s">
        <v>158</v>
      </c>
    </row>
    <row r="285" spans="1:13" s="3" customFormat="1" ht="21" x14ac:dyDescent="0.4">
      <c r="B285" s="28"/>
      <c r="C285" s="28"/>
      <c r="D285" s="28"/>
      <c r="E285" s="28"/>
      <c r="F285" s="28"/>
      <c r="G285" s="14">
        <v>40472813</v>
      </c>
      <c r="H285" s="14">
        <v>40473754</v>
      </c>
      <c r="I285" s="14">
        <v>942</v>
      </c>
      <c r="J285" s="14" t="s">
        <v>131</v>
      </c>
      <c r="K285" s="14" t="s">
        <v>184</v>
      </c>
      <c r="L285" s="14" t="s">
        <v>184</v>
      </c>
      <c r="M285" s="14" t="s">
        <v>185</v>
      </c>
    </row>
    <row r="286" spans="1:13" s="3" customFormat="1" ht="21" x14ac:dyDescent="0.4">
      <c r="B286" s="28"/>
      <c r="C286" s="28"/>
      <c r="D286" s="28"/>
      <c r="E286" s="28"/>
      <c r="F286" s="28"/>
      <c r="G286" s="14">
        <v>40545750</v>
      </c>
      <c r="H286" s="14">
        <v>40546539</v>
      </c>
      <c r="I286" s="14">
        <v>790</v>
      </c>
      <c r="J286" s="14" t="s">
        <v>131</v>
      </c>
      <c r="K286" s="14" t="s">
        <v>186</v>
      </c>
      <c r="L286" s="14" t="s">
        <v>186</v>
      </c>
      <c r="M286" s="14" t="s">
        <v>187</v>
      </c>
    </row>
    <row r="287" spans="1:13" s="3" customFormat="1" ht="21" x14ac:dyDescent="0.4">
      <c r="B287" s="28"/>
      <c r="C287" s="28"/>
      <c r="D287" s="28"/>
      <c r="E287" s="28"/>
      <c r="F287" s="28"/>
      <c r="G287" s="14">
        <v>40547574</v>
      </c>
      <c r="H287" s="14">
        <v>40548089</v>
      </c>
      <c r="I287" s="14">
        <v>516</v>
      </c>
      <c r="J287" s="14" t="s">
        <v>131</v>
      </c>
      <c r="K287" s="14" t="s">
        <v>188</v>
      </c>
      <c r="L287" s="14" t="s">
        <v>188</v>
      </c>
      <c r="M287" s="14" t="s">
        <v>158</v>
      </c>
    </row>
    <row r="288" spans="1:13" s="3" customFormat="1" ht="21" x14ac:dyDescent="0.4">
      <c r="B288" s="28"/>
      <c r="C288" s="28"/>
      <c r="D288" s="28"/>
      <c r="E288" s="28"/>
      <c r="F288" s="28"/>
      <c r="G288" s="14">
        <v>40548093</v>
      </c>
      <c r="H288" s="14">
        <v>40549249</v>
      </c>
      <c r="I288" s="14">
        <v>1157</v>
      </c>
      <c r="J288" s="14" t="s">
        <v>131</v>
      </c>
      <c r="K288" s="14" t="s">
        <v>189</v>
      </c>
      <c r="L288" s="14" t="s">
        <v>189</v>
      </c>
      <c r="M288" s="14" t="s">
        <v>190</v>
      </c>
    </row>
    <row r="289" spans="1:13" s="3" customFormat="1" ht="21" x14ac:dyDescent="0.4">
      <c r="B289" s="28"/>
      <c r="C289" s="28"/>
      <c r="D289" s="28"/>
      <c r="E289" s="28"/>
      <c r="F289" s="28"/>
      <c r="G289" s="14">
        <v>40582727</v>
      </c>
      <c r="H289" s="14">
        <v>40583562</v>
      </c>
      <c r="I289" s="14">
        <v>836</v>
      </c>
      <c r="J289" s="14" t="s">
        <v>131</v>
      </c>
      <c r="K289" s="14" t="s">
        <v>191</v>
      </c>
      <c r="L289" s="14" t="s">
        <v>191</v>
      </c>
      <c r="M289" s="14" t="s">
        <v>192</v>
      </c>
    </row>
    <row r="290" spans="1:13" s="3" customFormat="1" ht="35.4" customHeight="1" x14ac:dyDescent="0.4">
      <c r="B290" s="28" t="s">
        <v>83</v>
      </c>
      <c r="C290" s="28" t="s">
        <v>205</v>
      </c>
      <c r="D290" s="28">
        <v>360585294</v>
      </c>
      <c r="E290" s="28">
        <v>360736076</v>
      </c>
      <c r="F290" s="48">
        <f>(E290-D290)/1000</f>
        <v>150.78200000000001</v>
      </c>
      <c r="G290" s="14">
        <v>360610417</v>
      </c>
      <c r="H290" s="14">
        <v>360611452</v>
      </c>
      <c r="I290" s="14">
        <v>1036</v>
      </c>
      <c r="J290" s="14" t="s">
        <v>138</v>
      </c>
      <c r="K290" s="14" t="s">
        <v>305</v>
      </c>
      <c r="L290" s="14" t="s">
        <v>305</v>
      </c>
      <c r="M290" s="14" t="s">
        <v>306</v>
      </c>
    </row>
    <row r="291" spans="1:13" s="3" customFormat="1" ht="27" customHeight="1" x14ac:dyDescent="0.4">
      <c r="B291" s="28"/>
      <c r="C291" s="28"/>
      <c r="D291" s="28"/>
      <c r="E291" s="28"/>
      <c r="F291" s="48"/>
      <c r="G291" s="14">
        <v>360662599</v>
      </c>
      <c r="H291" s="14">
        <v>360665551</v>
      </c>
      <c r="I291" s="14">
        <v>2953</v>
      </c>
      <c r="J291" s="14" t="s">
        <v>131</v>
      </c>
      <c r="K291" s="14" t="s">
        <v>307</v>
      </c>
      <c r="L291" s="14" t="s">
        <v>307</v>
      </c>
      <c r="M291" s="14" t="s">
        <v>308</v>
      </c>
    </row>
    <row r="292" spans="1:13" s="3" customFormat="1" ht="29.4" customHeight="1" x14ac:dyDescent="0.4">
      <c r="B292" s="28"/>
      <c r="C292" s="28"/>
      <c r="D292" s="28"/>
      <c r="E292" s="28"/>
      <c r="F292" s="48"/>
      <c r="G292" s="14">
        <v>360693951</v>
      </c>
      <c r="H292" s="14">
        <v>360697607</v>
      </c>
      <c r="I292" s="14">
        <v>3657</v>
      </c>
      <c r="J292" s="14" t="s">
        <v>131</v>
      </c>
      <c r="K292" s="14" t="s">
        <v>309</v>
      </c>
      <c r="L292" s="14" t="s">
        <v>309</v>
      </c>
      <c r="M292" s="14" t="s">
        <v>310</v>
      </c>
    </row>
    <row r="293" spans="1:13" s="3" customFormat="1" ht="21" x14ac:dyDescent="0.4">
      <c r="B293" s="14" t="s">
        <v>50</v>
      </c>
      <c r="C293" s="14" t="s">
        <v>228</v>
      </c>
      <c r="D293" s="14"/>
      <c r="E293" s="14"/>
      <c r="F293" s="14"/>
      <c r="G293" s="14"/>
      <c r="H293" s="14"/>
      <c r="I293" s="14"/>
      <c r="J293" s="14"/>
      <c r="K293" s="14"/>
      <c r="L293" s="14"/>
      <c r="M293" s="14"/>
    </row>
    <row r="294" spans="1:13" s="3" customFormat="1" ht="24" customHeight="1" x14ac:dyDescent="0.4">
      <c r="B294" s="27" t="s">
        <v>84</v>
      </c>
      <c r="C294" s="28" t="s">
        <v>367</v>
      </c>
      <c r="D294" s="39">
        <v>473557377</v>
      </c>
      <c r="E294" s="39">
        <v>473664815</v>
      </c>
      <c r="F294" s="39">
        <v>107.44</v>
      </c>
      <c r="G294" s="14">
        <v>473590829</v>
      </c>
      <c r="H294" s="14">
        <v>473595560</v>
      </c>
      <c r="I294" s="14">
        <v>4732</v>
      </c>
      <c r="J294" s="14" t="s">
        <v>138</v>
      </c>
      <c r="K294" s="19" t="s">
        <v>491</v>
      </c>
      <c r="L294" s="19" t="s">
        <v>491</v>
      </c>
      <c r="M294" s="14" t="s">
        <v>492</v>
      </c>
    </row>
    <row r="295" spans="1:13" s="3" customFormat="1" ht="21" x14ac:dyDescent="0.4">
      <c r="B295" s="27"/>
      <c r="C295" s="28"/>
      <c r="D295" s="39"/>
      <c r="E295" s="39"/>
      <c r="F295" s="39"/>
      <c r="G295" s="14">
        <v>473598410</v>
      </c>
      <c r="H295" s="14">
        <v>473604294</v>
      </c>
      <c r="I295" s="14">
        <v>5885</v>
      </c>
      <c r="J295" s="14" t="s">
        <v>138</v>
      </c>
      <c r="K295" s="14" t="s">
        <v>493</v>
      </c>
      <c r="L295" s="14" t="s">
        <v>493</v>
      </c>
      <c r="M295" s="14" t="s">
        <v>494</v>
      </c>
    </row>
    <row r="296" spans="1:13" s="3" customFormat="1" ht="21" x14ac:dyDescent="0.4">
      <c r="B296" s="27"/>
      <c r="C296" s="28"/>
      <c r="D296" s="39"/>
      <c r="E296" s="39"/>
      <c r="F296" s="39"/>
      <c r="G296" s="14">
        <v>473609645</v>
      </c>
      <c r="H296" s="14">
        <v>473613248</v>
      </c>
      <c r="I296" s="14">
        <v>3604</v>
      </c>
      <c r="J296" s="14" t="s">
        <v>138</v>
      </c>
      <c r="K296" s="14" t="s">
        <v>495</v>
      </c>
      <c r="L296" s="14" t="s">
        <v>495</v>
      </c>
      <c r="M296" s="14" t="s">
        <v>496</v>
      </c>
    </row>
    <row r="297" spans="1:13" s="3" customFormat="1" ht="21" x14ac:dyDescent="0.4">
      <c r="B297" s="27"/>
      <c r="C297" s="28"/>
      <c r="D297" s="39"/>
      <c r="E297" s="39"/>
      <c r="F297" s="39"/>
      <c r="G297" s="14">
        <v>473610376</v>
      </c>
      <c r="H297" s="14">
        <v>473615101</v>
      </c>
      <c r="I297" s="14">
        <v>4726</v>
      </c>
      <c r="J297" s="14" t="s">
        <v>131</v>
      </c>
      <c r="K297" s="14" t="s">
        <v>497</v>
      </c>
      <c r="L297" s="14" t="s">
        <v>497</v>
      </c>
      <c r="M297" s="14" t="s">
        <v>498</v>
      </c>
    </row>
    <row r="298" spans="1:13" s="3" customFormat="1" ht="21" x14ac:dyDescent="0.4">
      <c r="B298" s="27"/>
      <c r="C298" s="28"/>
      <c r="D298" s="39"/>
      <c r="E298" s="39"/>
      <c r="F298" s="39"/>
      <c r="G298" s="14">
        <v>473624017</v>
      </c>
      <c r="H298" s="14">
        <v>473625457</v>
      </c>
      <c r="I298" s="14">
        <v>1441</v>
      </c>
      <c r="J298" s="14" t="s">
        <v>138</v>
      </c>
      <c r="K298" s="14" t="s">
        <v>499</v>
      </c>
      <c r="L298" s="14" t="s">
        <v>499</v>
      </c>
      <c r="M298" s="14" t="s">
        <v>500</v>
      </c>
    </row>
    <row r="299" spans="1:13" s="3" customFormat="1" ht="21" x14ac:dyDescent="0.4">
      <c r="B299" s="27"/>
      <c r="C299" s="28"/>
      <c r="D299" s="39"/>
      <c r="E299" s="39"/>
      <c r="F299" s="39"/>
      <c r="G299" s="14">
        <v>473644768</v>
      </c>
      <c r="H299" s="14">
        <v>473648220</v>
      </c>
      <c r="I299" s="14">
        <v>3453</v>
      </c>
      <c r="J299" s="14" t="s">
        <v>138</v>
      </c>
      <c r="K299" s="14" t="s">
        <v>501</v>
      </c>
      <c r="L299" s="14" t="s">
        <v>501</v>
      </c>
      <c r="M299" s="14" t="s">
        <v>500</v>
      </c>
    </row>
    <row r="300" spans="1:13" s="3" customFormat="1" ht="21" x14ac:dyDescent="0.4">
      <c r="B300" s="27"/>
      <c r="C300" s="28"/>
      <c r="D300" s="39"/>
      <c r="E300" s="39"/>
      <c r="F300" s="39"/>
      <c r="G300" s="14">
        <v>473655750</v>
      </c>
      <c r="H300" s="14">
        <v>473660310</v>
      </c>
      <c r="I300" s="14">
        <v>4561</v>
      </c>
      <c r="J300" s="14" t="s">
        <v>138</v>
      </c>
      <c r="K300" s="14" t="s">
        <v>502</v>
      </c>
      <c r="L300" s="14" t="s">
        <v>502</v>
      </c>
      <c r="M300" s="14" t="s">
        <v>503</v>
      </c>
    </row>
    <row r="301" spans="1:13" s="3" customFormat="1" ht="31.2" customHeight="1" x14ac:dyDescent="0.4">
      <c r="B301" s="28" t="s">
        <v>85</v>
      </c>
      <c r="C301" s="28" t="s">
        <v>312</v>
      </c>
      <c r="D301" s="28">
        <v>384743574</v>
      </c>
      <c r="E301" s="28">
        <v>384865670</v>
      </c>
      <c r="F301" s="48">
        <f>(E301-D301)/1000</f>
        <v>122.096</v>
      </c>
      <c r="G301" s="14">
        <v>384782046</v>
      </c>
      <c r="H301" s="14">
        <v>384782483</v>
      </c>
      <c r="I301" s="14">
        <v>438</v>
      </c>
      <c r="J301" s="14" t="s">
        <v>138</v>
      </c>
      <c r="K301" s="14" t="s">
        <v>354</v>
      </c>
      <c r="L301" s="14" t="s">
        <v>354</v>
      </c>
      <c r="M301" s="14" t="s">
        <v>148</v>
      </c>
    </row>
    <row r="302" spans="1:13" s="3" customFormat="1" ht="21" x14ac:dyDescent="0.4">
      <c r="B302" s="28"/>
      <c r="C302" s="28"/>
      <c r="D302" s="28"/>
      <c r="E302" s="28"/>
      <c r="F302" s="48"/>
      <c r="G302" s="14">
        <v>384849942</v>
      </c>
      <c r="H302" s="14">
        <v>384851012</v>
      </c>
      <c r="I302" s="14">
        <v>1071</v>
      </c>
      <c r="J302" s="14" t="s">
        <v>131</v>
      </c>
      <c r="K302" s="14" t="s">
        <v>355</v>
      </c>
      <c r="L302" s="14" t="s">
        <v>355</v>
      </c>
      <c r="M302" s="14" t="s">
        <v>356</v>
      </c>
    </row>
    <row r="303" spans="1:13" s="45" customFormat="1" ht="18.600000000000001" x14ac:dyDescent="0.3">
      <c r="A303" s="45" t="s">
        <v>24</v>
      </c>
    </row>
    <row r="304" spans="1:13" s="3" customFormat="1" ht="21" x14ac:dyDescent="0.4">
      <c r="B304" s="28" t="s">
        <v>86</v>
      </c>
      <c r="C304" s="28" t="s">
        <v>229</v>
      </c>
      <c r="D304" s="14">
        <v>65503316</v>
      </c>
      <c r="E304" s="14">
        <v>65513590</v>
      </c>
      <c r="F304" s="20">
        <f>(E304-D304)/1000</f>
        <v>10.273999999999999</v>
      </c>
      <c r="G304" s="14">
        <v>65511988</v>
      </c>
      <c r="H304" s="14">
        <v>65513425</v>
      </c>
      <c r="I304" s="14">
        <v>1438</v>
      </c>
      <c r="J304" s="14" t="s">
        <v>138</v>
      </c>
      <c r="K304" s="14" t="s">
        <v>230</v>
      </c>
      <c r="L304" s="14" t="s">
        <v>230</v>
      </c>
      <c r="M304" s="14" t="s">
        <v>150</v>
      </c>
    </row>
    <row r="305" spans="2:13" s="3" customFormat="1" ht="21" x14ac:dyDescent="0.4">
      <c r="B305" s="28"/>
      <c r="C305" s="28"/>
      <c r="D305" s="14"/>
      <c r="E305" s="14"/>
      <c r="F305" s="14"/>
      <c r="G305" s="14">
        <v>65511988</v>
      </c>
      <c r="H305" s="14">
        <v>65513425</v>
      </c>
      <c r="I305" s="14">
        <v>1438</v>
      </c>
      <c r="J305" s="14" t="s">
        <v>131</v>
      </c>
      <c r="K305" s="14" t="s">
        <v>231</v>
      </c>
      <c r="L305" s="14" t="s">
        <v>231</v>
      </c>
      <c r="M305" s="14" t="s">
        <v>232</v>
      </c>
    </row>
    <row r="306" spans="2:13" s="3" customFormat="1" ht="21" x14ac:dyDescent="0.4">
      <c r="B306" s="27" t="s">
        <v>87</v>
      </c>
      <c r="C306" s="28" t="s">
        <v>229</v>
      </c>
      <c r="D306" s="28">
        <v>168632275</v>
      </c>
      <c r="E306" s="28">
        <v>168736207</v>
      </c>
      <c r="F306" s="48">
        <f>(E306-D306)/1000</f>
        <v>103.932</v>
      </c>
      <c r="G306" s="14">
        <v>168636162</v>
      </c>
      <c r="H306" s="14">
        <v>168636652</v>
      </c>
      <c r="I306" s="14">
        <v>491</v>
      </c>
      <c r="J306" s="14" t="s">
        <v>131</v>
      </c>
      <c r="K306" s="14" t="s">
        <v>235</v>
      </c>
      <c r="L306" s="14" t="s">
        <v>235</v>
      </c>
      <c r="M306" s="14" t="s">
        <v>158</v>
      </c>
    </row>
    <row r="307" spans="2:13" s="3" customFormat="1" ht="21" x14ac:dyDescent="0.4">
      <c r="B307" s="27"/>
      <c r="C307" s="28"/>
      <c r="D307" s="28"/>
      <c r="E307" s="28"/>
      <c r="F307" s="48"/>
      <c r="G307" s="14">
        <v>168636860</v>
      </c>
      <c r="H307" s="14">
        <v>168641131</v>
      </c>
      <c r="I307" s="14">
        <v>4272</v>
      </c>
      <c r="J307" s="14" t="s">
        <v>131</v>
      </c>
      <c r="K307" s="14" t="s">
        <v>236</v>
      </c>
      <c r="L307" s="14" t="s">
        <v>236</v>
      </c>
      <c r="M307" s="14" t="s">
        <v>190</v>
      </c>
    </row>
    <row r="308" spans="2:13" s="3" customFormat="1" ht="21" x14ac:dyDescent="0.4">
      <c r="B308" s="27"/>
      <c r="C308" s="28"/>
      <c r="D308" s="28"/>
      <c r="E308" s="28"/>
      <c r="F308" s="48"/>
      <c r="G308" s="14">
        <v>168732313</v>
      </c>
      <c r="H308" s="14">
        <v>168736424</v>
      </c>
      <c r="I308" s="14">
        <v>4112</v>
      </c>
      <c r="J308" s="14" t="s">
        <v>138</v>
      </c>
      <c r="K308" s="19" t="s">
        <v>237</v>
      </c>
      <c r="L308" s="19" t="s">
        <v>237</v>
      </c>
      <c r="M308" s="14" t="s">
        <v>238</v>
      </c>
    </row>
    <row r="309" spans="2:13" s="3" customFormat="1" ht="21" x14ac:dyDescent="0.4">
      <c r="B309" s="14" t="s">
        <v>25</v>
      </c>
      <c r="C309" s="14" t="s">
        <v>228</v>
      </c>
      <c r="D309" s="14"/>
      <c r="E309" s="14"/>
      <c r="F309" s="14"/>
      <c r="G309" s="14"/>
      <c r="H309" s="14"/>
      <c r="I309" s="14"/>
      <c r="J309" s="14"/>
      <c r="K309" s="14"/>
      <c r="L309" s="14"/>
      <c r="M309" s="14"/>
    </row>
    <row r="310" spans="2:13" s="3" customFormat="1" ht="14.4" customHeight="1" x14ac:dyDescent="0.4">
      <c r="B310" s="28" t="s">
        <v>88</v>
      </c>
      <c r="C310" s="28" t="s">
        <v>367</v>
      </c>
      <c r="D310" s="39">
        <v>463867448</v>
      </c>
      <c r="E310" s="39">
        <v>464107382</v>
      </c>
      <c r="F310" s="39">
        <v>239.93</v>
      </c>
      <c r="G310" s="14">
        <v>463869048</v>
      </c>
      <c r="H310" s="14">
        <v>463875484</v>
      </c>
      <c r="I310" s="14">
        <v>6437</v>
      </c>
      <c r="J310" s="14" t="s">
        <v>131</v>
      </c>
      <c r="K310" s="14" t="s">
        <v>439</v>
      </c>
      <c r="L310" s="14" t="s">
        <v>439</v>
      </c>
      <c r="M310" s="14" t="s">
        <v>440</v>
      </c>
    </row>
    <row r="311" spans="2:13" s="3" customFormat="1" ht="21" x14ac:dyDescent="0.4">
      <c r="B311" s="28"/>
      <c r="C311" s="28"/>
      <c r="D311" s="39"/>
      <c r="E311" s="39"/>
      <c r="F311" s="39"/>
      <c r="G311" s="14">
        <v>463869048</v>
      </c>
      <c r="H311" s="14">
        <v>463871378</v>
      </c>
      <c r="I311" s="14">
        <v>2331</v>
      </c>
      <c r="J311" s="14" t="s">
        <v>138</v>
      </c>
      <c r="K311" s="14" t="s">
        <v>441</v>
      </c>
      <c r="L311" s="14" t="s">
        <v>441</v>
      </c>
      <c r="M311" s="14" t="s">
        <v>442</v>
      </c>
    </row>
    <row r="312" spans="2:13" s="3" customFormat="1" ht="21" x14ac:dyDescent="0.4">
      <c r="B312" s="28"/>
      <c r="C312" s="28"/>
      <c r="D312" s="39"/>
      <c r="E312" s="39"/>
      <c r="F312" s="39"/>
      <c r="G312" s="14">
        <v>463875806</v>
      </c>
      <c r="H312" s="14">
        <v>463876762</v>
      </c>
      <c r="I312" s="14">
        <v>957</v>
      </c>
      <c r="J312" s="14" t="s">
        <v>131</v>
      </c>
      <c r="K312" s="14" t="s">
        <v>443</v>
      </c>
      <c r="L312" s="14" t="s">
        <v>443</v>
      </c>
      <c r="M312" s="14" t="s">
        <v>444</v>
      </c>
    </row>
    <row r="313" spans="2:13" s="3" customFormat="1" ht="21" x14ac:dyDescent="0.4">
      <c r="B313" s="28"/>
      <c r="C313" s="28"/>
      <c r="D313" s="39"/>
      <c r="E313" s="39"/>
      <c r="F313" s="39"/>
      <c r="G313" s="14">
        <v>463910456</v>
      </c>
      <c r="H313" s="14">
        <v>463910938</v>
      </c>
      <c r="I313" s="14">
        <v>483</v>
      </c>
      <c r="J313" s="14" t="s">
        <v>131</v>
      </c>
      <c r="K313" s="14" t="s">
        <v>445</v>
      </c>
      <c r="L313" s="14" t="s">
        <v>445</v>
      </c>
      <c r="M313" s="14" t="s">
        <v>446</v>
      </c>
    </row>
    <row r="314" spans="2:13" s="3" customFormat="1" ht="21" x14ac:dyDescent="0.4">
      <c r="B314" s="28"/>
      <c r="C314" s="28"/>
      <c r="D314" s="39"/>
      <c r="E314" s="39"/>
      <c r="F314" s="39"/>
      <c r="G314" s="14">
        <v>463931052</v>
      </c>
      <c r="H314" s="14">
        <v>463935261</v>
      </c>
      <c r="I314" s="14">
        <v>4210</v>
      </c>
      <c r="J314" s="14" t="s">
        <v>138</v>
      </c>
      <c r="K314" s="14" t="s">
        <v>447</v>
      </c>
      <c r="L314" s="14" t="s">
        <v>447</v>
      </c>
      <c r="M314" s="14" t="s">
        <v>448</v>
      </c>
    </row>
    <row r="315" spans="2:13" s="3" customFormat="1" ht="21" x14ac:dyDescent="0.4">
      <c r="B315" s="28"/>
      <c r="C315" s="28"/>
      <c r="D315" s="39"/>
      <c r="E315" s="39"/>
      <c r="F315" s="39"/>
      <c r="G315" s="14">
        <v>463971066</v>
      </c>
      <c r="H315" s="14">
        <v>463980020</v>
      </c>
      <c r="I315" s="14">
        <v>8955</v>
      </c>
      <c r="J315" s="14" t="s">
        <v>138</v>
      </c>
      <c r="K315" s="14" t="s">
        <v>449</v>
      </c>
      <c r="L315" s="14" t="s">
        <v>449</v>
      </c>
      <c r="M315" s="14" t="s">
        <v>450</v>
      </c>
    </row>
    <row r="316" spans="2:13" s="3" customFormat="1" ht="21" x14ac:dyDescent="0.4">
      <c r="B316" s="28"/>
      <c r="C316" s="28"/>
      <c r="D316" s="39"/>
      <c r="E316" s="39"/>
      <c r="F316" s="39"/>
      <c r="G316" s="14">
        <v>463982396</v>
      </c>
      <c r="H316" s="14">
        <v>463987172</v>
      </c>
      <c r="I316" s="14">
        <v>4777</v>
      </c>
      <c r="J316" s="14" t="s">
        <v>131</v>
      </c>
      <c r="K316" s="14" t="s">
        <v>451</v>
      </c>
      <c r="L316" s="14" t="s">
        <v>451</v>
      </c>
      <c r="M316" s="14" t="s">
        <v>452</v>
      </c>
    </row>
    <row r="317" spans="2:13" s="3" customFormat="1" ht="21" x14ac:dyDescent="0.4">
      <c r="B317" s="28"/>
      <c r="C317" s="28"/>
      <c r="D317" s="39"/>
      <c r="E317" s="39"/>
      <c r="F317" s="39"/>
      <c r="G317" s="14">
        <v>463992091</v>
      </c>
      <c r="H317" s="14">
        <v>463993200</v>
      </c>
      <c r="I317" s="14">
        <v>1110</v>
      </c>
      <c r="J317" s="14" t="s">
        <v>131</v>
      </c>
      <c r="K317" s="14" t="s">
        <v>453</v>
      </c>
      <c r="L317" s="14" t="s">
        <v>453</v>
      </c>
      <c r="M317" s="14" t="s">
        <v>454</v>
      </c>
    </row>
    <row r="318" spans="2:13" s="3" customFormat="1" ht="21" x14ac:dyDescent="0.4">
      <c r="B318" s="28"/>
      <c r="C318" s="28"/>
      <c r="D318" s="39"/>
      <c r="E318" s="39"/>
      <c r="F318" s="39"/>
      <c r="G318" s="14">
        <v>464050638</v>
      </c>
      <c r="H318" s="14">
        <v>464055083</v>
      </c>
      <c r="I318" s="14">
        <v>4446</v>
      </c>
      <c r="J318" s="14" t="s">
        <v>131</v>
      </c>
      <c r="K318" s="14" t="s">
        <v>455</v>
      </c>
      <c r="L318" s="14" t="s">
        <v>455</v>
      </c>
      <c r="M318" s="14" t="s">
        <v>456</v>
      </c>
    </row>
    <row r="319" spans="2:13" s="3" customFormat="1" ht="21" x14ac:dyDescent="0.4">
      <c r="B319" s="28"/>
      <c r="C319" s="28"/>
      <c r="D319" s="39"/>
      <c r="E319" s="39"/>
      <c r="F319" s="39"/>
      <c r="G319" s="14">
        <v>464062179</v>
      </c>
      <c r="H319" s="14">
        <v>464064813</v>
      </c>
      <c r="I319" s="14">
        <v>2635</v>
      </c>
      <c r="J319" s="14" t="s">
        <v>131</v>
      </c>
      <c r="K319" s="14" t="s">
        <v>457</v>
      </c>
      <c r="L319" s="14" t="s">
        <v>457</v>
      </c>
      <c r="M319" s="14" t="s">
        <v>458</v>
      </c>
    </row>
    <row r="320" spans="2:13" s="3" customFormat="1" ht="21" x14ac:dyDescent="0.4">
      <c r="B320" s="28"/>
      <c r="C320" s="28"/>
      <c r="D320" s="39"/>
      <c r="E320" s="39"/>
      <c r="F320" s="39"/>
      <c r="G320" s="14">
        <v>464066451</v>
      </c>
      <c r="H320" s="14">
        <v>464070907</v>
      </c>
      <c r="I320" s="14">
        <v>4457</v>
      </c>
      <c r="J320" s="14" t="s">
        <v>131</v>
      </c>
      <c r="K320" s="14" t="s">
        <v>459</v>
      </c>
      <c r="L320" s="14" t="s">
        <v>459</v>
      </c>
      <c r="M320" s="14" t="s">
        <v>460</v>
      </c>
    </row>
    <row r="321" spans="2:13" s="3" customFormat="1" ht="21" x14ac:dyDescent="0.4">
      <c r="B321" s="28"/>
      <c r="C321" s="28"/>
      <c r="D321" s="39"/>
      <c r="E321" s="39"/>
      <c r="F321" s="39"/>
      <c r="G321" s="14">
        <v>464084300</v>
      </c>
      <c r="H321" s="14">
        <v>464086187</v>
      </c>
      <c r="I321" s="14">
        <v>1888</v>
      </c>
      <c r="J321" s="14" t="s">
        <v>138</v>
      </c>
      <c r="K321" s="14" t="s">
        <v>461</v>
      </c>
      <c r="L321" s="14" t="s">
        <v>461</v>
      </c>
      <c r="M321" s="14" t="s">
        <v>462</v>
      </c>
    </row>
    <row r="322" spans="2:13" s="3" customFormat="1" ht="21" x14ac:dyDescent="0.4">
      <c r="B322" s="28"/>
      <c r="C322" s="28"/>
      <c r="D322" s="39"/>
      <c r="E322" s="39"/>
      <c r="F322" s="39"/>
      <c r="G322" s="14">
        <v>464089035</v>
      </c>
      <c r="H322" s="14">
        <v>464090485</v>
      </c>
      <c r="I322" s="14">
        <v>1451</v>
      </c>
      <c r="J322" s="14" t="s">
        <v>138</v>
      </c>
      <c r="K322" s="14" t="s">
        <v>463</v>
      </c>
      <c r="L322" s="14" t="s">
        <v>463</v>
      </c>
      <c r="M322" s="14" t="s">
        <v>462</v>
      </c>
    </row>
    <row r="323" spans="2:13" s="3" customFormat="1" ht="21" x14ac:dyDescent="0.4">
      <c r="B323" s="28"/>
      <c r="C323" s="28"/>
      <c r="D323" s="39"/>
      <c r="E323" s="39"/>
      <c r="F323" s="39"/>
      <c r="G323" s="14">
        <v>464090555</v>
      </c>
      <c r="H323" s="14">
        <v>464095423</v>
      </c>
      <c r="I323" s="14">
        <v>4869</v>
      </c>
      <c r="J323" s="14" t="s">
        <v>131</v>
      </c>
      <c r="K323" s="14" t="s">
        <v>464</v>
      </c>
      <c r="L323" s="14" t="s">
        <v>465</v>
      </c>
      <c r="M323" s="14" t="s">
        <v>466</v>
      </c>
    </row>
    <row r="324" spans="2:13" s="3" customFormat="1" ht="21" x14ac:dyDescent="0.4">
      <c r="B324" s="28"/>
      <c r="C324" s="28"/>
      <c r="D324" s="39"/>
      <c r="E324" s="39"/>
      <c r="F324" s="39"/>
      <c r="G324" s="14">
        <v>464098435</v>
      </c>
      <c r="H324" s="14">
        <v>464104878</v>
      </c>
      <c r="I324" s="14">
        <v>6444</v>
      </c>
      <c r="J324" s="14" t="s">
        <v>138</v>
      </c>
      <c r="K324" s="14" t="s">
        <v>467</v>
      </c>
      <c r="L324" s="14" t="s">
        <v>467</v>
      </c>
      <c r="M324" s="14" t="s">
        <v>468</v>
      </c>
    </row>
    <row r="325" spans="2:13" s="3" customFormat="1" ht="21" x14ac:dyDescent="0.4">
      <c r="B325" s="28"/>
      <c r="C325" s="28"/>
      <c r="D325" s="39"/>
      <c r="E325" s="39"/>
      <c r="F325" s="39"/>
      <c r="G325" s="14">
        <v>464105638</v>
      </c>
      <c r="H325" s="14">
        <v>464111895</v>
      </c>
      <c r="I325" s="14">
        <v>6258</v>
      </c>
      <c r="J325" s="14" t="s">
        <v>131</v>
      </c>
      <c r="K325" s="14" t="s">
        <v>469</v>
      </c>
      <c r="L325" s="14" t="s">
        <v>469</v>
      </c>
      <c r="M325" s="14" t="s">
        <v>470</v>
      </c>
    </row>
    <row r="326" spans="2:13" s="3" customFormat="1" ht="21" x14ac:dyDescent="0.4">
      <c r="B326" s="14" t="s">
        <v>89</v>
      </c>
      <c r="C326" s="14" t="s">
        <v>228</v>
      </c>
      <c r="D326" s="14"/>
      <c r="E326" s="14"/>
      <c r="F326" s="14"/>
      <c r="G326" s="14"/>
      <c r="H326" s="14"/>
      <c r="I326" s="14"/>
      <c r="J326" s="14"/>
      <c r="K326" s="14"/>
      <c r="L326" s="14"/>
      <c r="M326" s="14"/>
    </row>
    <row r="327" spans="2:13" s="3" customFormat="1" ht="39.6" customHeight="1" x14ac:dyDescent="0.4">
      <c r="B327" s="27" t="s">
        <v>53</v>
      </c>
      <c r="C327" s="28" t="s">
        <v>312</v>
      </c>
      <c r="D327" s="28">
        <v>409495603</v>
      </c>
      <c r="E327" s="28">
        <v>409610139</v>
      </c>
      <c r="F327" s="48">
        <f>(E327-D327)/1000</f>
        <v>114.536</v>
      </c>
      <c r="G327" s="14">
        <v>409503481</v>
      </c>
      <c r="H327" s="14">
        <v>409504992</v>
      </c>
      <c r="I327" s="14">
        <v>1512</v>
      </c>
      <c r="J327" s="14" t="s">
        <v>131</v>
      </c>
      <c r="K327" s="14" t="s">
        <v>357</v>
      </c>
      <c r="L327" s="14" t="s">
        <v>357</v>
      </c>
      <c r="M327" s="14" t="s">
        <v>358</v>
      </c>
    </row>
    <row r="328" spans="2:13" s="3" customFormat="1" ht="21" x14ac:dyDescent="0.4">
      <c r="B328" s="27"/>
      <c r="C328" s="28"/>
      <c r="D328" s="28"/>
      <c r="E328" s="28"/>
      <c r="F328" s="48"/>
      <c r="G328" s="14">
        <v>409527585</v>
      </c>
      <c r="H328" s="14">
        <v>409532660</v>
      </c>
      <c r="I328" s="14">
        <v>5076</v>
      </c>
      <c r="J328" s="14" t="s">
        <v>131</v>
      </c>
      <c r="K328" s="14" t="s">
        <v>359</v>
      </c>
      <c r="L328" s="14" t="s">
        <v>359</v>
      </c>
      <c r="M328" s="14" t="s">
        <v>360</v>
      </c>
    </row>
    <row r="329" spans="2:13" s="3" customFormat="1" ht="21" x14ac:dyDescent="0.4">
      <c r="B329" s="27"/>
      <c r="C329" s="28"/>
      <c r="D329" s="28"/>
      <c r="E329" s="28"/>
      <c r="F329" s="48"/>
      <c r="G329" s="14">
        <v>409581412</v>
      </c>
      <c r="H329" s="14">
        <v>409585590</v>
      </c>
      <c r="I329" s="14">
        <v>4179</v>
      </c>
      <c r="J329" s="14" t="s">
        <v>138</v>
      </c>
      <c r="K329" s="19" t="s">
        <v>361</v>
      </c>
      <c r="L329" s="19" t="s">
        <v>361</v>
      </c>
      <c r="M329" s="14" t="s">
        <v>362</v>
      </c>
    </row>
    <row r="330" spans="2:13" s="3" customFormat="1" ht="21" x14ac:dyDescent="0.4">
      <c r="B330" s="27"/>
      <c r="C330" s="28"/>
      <c r="D330" s="28"/>
      <c r="E330" s="28"/>
      <c r="F330" s="48"/>
      <c r="G330" s="14">
        <v>409585548</v>
      </c>
      <c r="H330" s="14">
        <v>409587616</v>
      </c>
      <c r="I330" s="14">
        <v>2069</v>
      </c>
      <c r="J330" s="14" t="s">
        <v>131</v>
      </c>
      <c r="K330" s="14" t="s">
        <v>363</v>
      </c>
      <c r="L330" s="14" t="s">
        <v>363</v>
      </c>
      <c r="M330" s="14" t="s">
        <v>364</v>
      </c>
    </row>
    <row r="331" spans="2:13" s="3" customFormat="1" ht="21" x14ac:dyDescent="0.4">
      <c r="B331" s="27"/>
      <c r="C331" s="28"/>
      <c r="D331" s="28"/>
      <c r="E331" s="28"/>
      <c r="F331" s="48"/>
      <c r="G331" s="14">
        <v>409606825</v>
      </c>
      <c r="H331" s="14">
        <v>409609172</v>
      </c>
      <c r="I331" s="14">
        <v>2348</v>
      </c>
      <c r="J331" s="14" t="s">
        <v>138</v>
      </c>
      <c r="K331" s="14" t="s">
        <v>365</v>
      </c>
      <c r="L331" s="14" t="s">
        <v>365</v>
      </c>
      <c r="M331" s="14" t="s">
        <v>366</v>
      </c>
    </row>
    <row r="332" spans="2:13" s="3" customFormat="1" ht="21" x14ac:dyDescent="0.4">
      <c r="B332" s="28" t="s">
        <v>90</v>
      </c>
      <c r="C332" s="28" t="s">
        <v>177</v>
      </c>
      <c r="D332" s="39">
        <v>522276771</v>
      </c>
      <c r="E332" s="39">
        <v>522401463</v>
      </c>
      <c r="F332" s="39">
        <v>124.7</v>
      </c>
      <c r="G332" s="14">
        <v>522271296</v>
      </c>
      <c r="H332" s="14">
        <v>522273538</v>
      </c>
      <c r="I332" s="14">
        <v>2243</v>
      </c>
      <c r="J332" s="14" t="s">
        <v>131</v>
      </c>
      <c r="K332" s="14" t="s">
        <v>178</v>
      </c>
      <c r="L332" s="14" t="s">
        <v>178</v>
      </c>
      <c r="M332" s="14" t="s">
        <v>179</v>
      </c>
    </row>
    <row r="333" spans="2:13" s="3" customFormat="1" ht="21" x14ac:dyDescent="0.4">
      <c r="B333" s="28"/>
      <c r="C333" s="28"/>
      <c r="D333" s="39"/>
      <c r="E333" s="39"/>
      <c r="F333" s="39"/>
      <c r="G333" s="14">
        <v>522277901</v>
      </c>
      <c r="H333" s="14">
        <v>522285726</v>
      </c>
      <c r="I333" s="14">
        <v>7826</v>
      </c>
      <c r="J333" s="14" t="s">
        <v>138</v>
      </c>
      <c r="K333" s="14" t="s">
        <v>558</v>
      </c>
      <c r="L333" s="14" t="s">
        <v>558</v>
      </c>
      <c r="M333" s="14" t="s">
        <v>559</v>
      </c>
    </row>
    <row r="334" spans="2:13" s="3" customFormat="1" ht="21" x14ac:dyDescent="0.4">
      <c r="B334" s="28"/>
      <c r="C334" s="28"/>
      <c r="D334" s="39"/>
      <c r="E334" s="39"/>
      <c r="F334" s="39"/>
      <c r="G334" s="14">
        <v>522294663</v>
      </c>
      <c r="H334" s="14">
        <v>522299599</v>
      </c>
      <c r="I334" s="14">
        <v>4937</v>
      </c>
      <c r="J334" s="14" t="s">
        <v>131</v>
      </c>
      <c r="K334" s="14" t="s">
        <v>560</v>
      </c>
      <c r="L334" s="14" t="s">
        <v>560</v>
      </c>
      <c r="M334" s="14" t="s">
        <v>561</v>
      </c>
    </row>
    <row r="335" spans="2:13" s="3" customFormat="1" ht="21" x14ac:dyDescent="0.4">
      <c r="B335" s="28"/>
      <c r="C335" s="28"/>
      <c r="D335" s="39"/>
      <c r="E335" s="39"/>
      <c r="F335" s="39"/>
      <c r="G335" s="14">
        <v>522326025</v>
      </c>
      <c r="H335" s="14">
        <v>522329794</v>
      </c>
      <c r="I335" s="14">
        <v>3770</v>
      </c>
      <c r="J335" s="14" t="s">
        <v>138</v>
      </c>
      <c r="K335" s="14" t="s">
        <v>562</v>
      </c>
      <c r="L335" s="14" t="s">
        <v>562</v>
      </c>
      <c r="M335" s="14" t="s">
        <v>563</v>
      </c>
    </row>
    <row r="336" spans="2:13" s="3" customFormat="1" ht="21" x14ac:dyDescent="0.4">
      <c r="B336" s="28"/>
      <c r="C336" s="28"/>
      <c r="D336" s="39"/>
      <c r="E336" s="39"/>
      <c r="F336" s="39"/>
      <c r="G336" s="14">
        <v>522339643</v>
      </c>
      <c r="H336" s="14">
        <v>522341484</v>
      </c>
      <c r="I336" s="14">
        <v>1842</v>
      </c>
      <c r="J336" s="14" t="s">
        <v>131</v>
      </c>
      <c r="K336" s="14" t="s">
        <v>564</v>
      </c>
      <c r="L336" s="14" t="s">
        <v>564</v>
      </c>
      <c r="M336" s="14" t="s">
        <v>565</v>
      </c>
    </row>
    <row r="337" spans="1:14" s="3" customFormat="1" ht="21" x14ac:dyDescent="0.4">
      <c r="B337" s="28"/>
      <c r="C337" s="28"/>
      <c r="D337" s="39"/>
      <c r="E337" s="39"/>
      <c r="F337" s="39"/>
      <c r="G337" s="14">
        <v>522342786</v>
      </c>
      <c r="H337" s="14">
        <v>522348681</v>
      </c>
      <c r="I337" s="14">
        <v>5896</v>
      </c>
      <c r="J337" s="14" t="s">
        <v>131</v>
      </c>
      <c r="K337" s="14" t="s">
        <v>566</v>
      </c>
      <c r="L337" s="14" t="s">
        <v>566</v>
      </c>
      <c r="M337" s="14" t="s">
        <v>567</v>
      </c>
    </row>
    <row r="338" spans="1:14" s="3" customFormat="1" ht="21" x14ac:dyDescent="0.4">
      <c r="B338" s="28"/>
      <c r="C338" s="28"/>
      <c r="D338" s="39"/>
      <c r="E338" s="39"/>
      <c r="F338" s="39"/>
      <c r="G338" s="14">
        <v>522343094</v>
      </c>
      <c r="H338" s="14">
        <v>522344128</v>
      </c>
      <c r="I338" s="14">
        <v>1035</v>
      </c>
      <c r="J338" s="14" t="s">
        <v>138</v>
      </c>
      <c r="K338" s="14" t="s">
        <v>568</v>
      </c>
      <c r="L338" s="14" t="s">
        <v>568</v>
      </c>
      <c r="M338" s="14" t="s">
        <v>150</v>
      </c>
    </row>
    <row r="339" spans="1:14" s="3" customFormat="1" ht="21" x14ac:dyDescent="0.4">
      <c r="B339" s="28"/>
      <c r="C339" s="28"/>
      <c r="D339" s="39"/>
      <c r="E339" s="39"/>
      <c r="F339" s="39"/>
      <c r="G339" s="14">
        <v>522350779</v>
      </c>
      <c r="H339" s="14">
        <v>522352621</v>
      </c>
      <c r="I339" s="14">
        <v>1843</v>
      </c>
      <c r="J339" s="14" t="s">
        <v>131</v>
      </c>
      <c r="K339" s="14" t="s">
        <v>569</v>
      </c>
      <c r="L339" s="14" t="s">
        <v>569</v>
      </c>
      <c r="M339" s="14" t="s">
        <v>155</v>
      </c>
    </row>
    <row r="340" spans="1:14" s="3" customFormat="1" ht="21" x14ac:dyDescent="0.4">
      <c r="B340" s="28"/>
      <c r="C340" s="28"/>
      <c r="D340" s="39"/>
      <c r="E340" s="39"/>
      <c r="F340" s="39"/>
      <c r="G340" s="14">
        <v>522369045</v>
      </c>
      <c r="H340" s="14">
        <v>522372241</v>
      </c>
      <c r="I340" s="14">
        <v>3197</v>
      </c>
      <c r="J340" s="14" t="s">
        <v>131</v>
      </c>
      <c r="K340" s="14" t="s">
        <v>570</v>
      </c>
      <c r="L340" s="14" t="s">
        <v>570</v>
      </c>
      <c r="M340" s="14" t="s">
        <v>571</v>
      </c>
    </row>
    <row r="341" spans="1:14" s="45" customFormat="1" ht="18.600000000000001" x14ac:dyDescent="0.3">
      <c r="A341" s="45" t="s">
        <v>55</v>
      </c>
    </row>
    <row r="342" spans="1:14" s="3" customFormat="1" ht="21" x14ac:dyDescent="0.4">
      <c r="B342" s="14" t="s">
        <v>91</v>
      </c>
      <c r="C342" s="14" t="s">
        <v>229</v>
      </c>
      <c r="D342" s="14">
        <v>66348351</v>
      </c>
      <c r="E342" s="14">
        <v>66507808</v>
      </c>
      <c r="F342" s="20">
        <f>(E342-D342)/1000</f>
        <v>159.45699999999999</v>
      </c>
      <c r="G342" s="14">
        <v>66366452</v>
      </c>
      <c r="H342" s="14">
        <v>66367208</v>
      </c>
      <c r="I342" s="14">
        <v>757</v>
      </c>
      <c r="J342" s="14" t="s">
        <v>131</v>
      </c>
      <c r="K342" s="14" t="s">
        <v>233</v>
      </c>
      <c r="L342" s="14" t="s">
        <v>233</v>
      </c>
      <c r="M342" s="14" t="s">
        <v>234</v>
      </c>
    </row>
    <row r="343" spans="1:14" s="3" customFormat="1" ht="21" x14ac:dyDescent="0.4">
      <c r="B343" s="14" t="s">
        <v>92</v>
      </c>
      <c r="C343" s="14" t="s">
        <v>228</v>
      </c>
      <c r="D343" s="14"/>
      <c r="E343" s="14"/>
      <c r="F343" s="14"/>
      <c r="G343" s="14"/>
      <c r="H343" s="14"/>
      <c r="I343" s="14"/>
      <c r="J343" s="14"/>
      <c r="K343" s="14"/>
      <c r="L343" s="14"/>
      <c r="M343" s="14"/>
    </row>
    <row r="344" spans="1:14" s="3" customFormat="1" ht="38.4" customHeight="1" x14ac:dyDescent="0.4">
      <c r="B344" s="28" t="s">
        <v>93</v>
      </c>
      <c r="C344" s="28" t="s">
        <v>177</v>
      </c>
      <c r="D344" s="39">
        <v>487814950</v>
      </c>
      <c r="E344" s="39">
        <v>487888811</v>
      </c>
      <c r="F344" s="39">
        <v>73.86</v>
      </c>
      <c r="G344" s="14">
        <v>487814668</v>
      </c>
      <c r="H344" s="14">
        <v>487817833</v>
      </c>
      <c r="I344" s="14">
        <v>3166</v>
      </c>
      <c r="J344" s="14" t="s">
        <v>138</v>
      </c>
      <c r="K344" s="14" t="s">
        <v>538</v>
      </c>
      <c r="L344" s="14" t="s">
        <v>538</v>
      </c>
      <c r="M344" s="14" t="s">
        <v>539</v>
      </c>
    </row>
    <row r="345" spans="1:14" s="3" customFormat="1" ht="21" x14ac:dyDescent="0.4">
      <c r="B345" s="28"/>
      <c r="C345" s="28"/>
      <c r="D345" s="39"/>
      <c r="E345" s="39"/>
      <c r="F345" s="39"/>
      <c r="G345" s="14">
        <v>487818240</v>
      </c>
      <c r="H345" s="14">
        <v>487821384</v>
      </c>
      <c r="I345" s="14">
        <v>3145</v>
      </c>
      <c r="J345" s="14" t="s">
        <v>138</v>
      </c>
      <c r="K345" s="14" t="s">
        <v>540</v>
      </c>
      <c r="L345" s="14" t="s">
        <v>540</v>
      </c>
      <c r="M345" s="14" t="s">
        <v>541</v>
      </c>
    </row>
    <row r="346" spans="1:14" s="3" customFormat="1" ht="21" x14ac:dyDescent="0.4">
      <c r="B346" s="28"/>
      <c r="C346" s="28"/>
      <c r="D346" s="39"/>
      <c r="E346" s="39"/>
      <c r="F346" s="39"/>
      <c r="G346" s="14">
        <v>487860234</v>
      </c>
      <c r="H346" s="14">
        <v>487861136</v>
      </c>
      <c r="I346" s="14">
        <v>903</v>
      </c>
      <c r="J346" s="14" t="s">
        <v>131</v>
      </c>
      <c r="K346" s="14" t="s">
        <v>542</v>
      </c>
      <c r="L346" s="14" t="s">
        <v>542</v>
      </c>
      <c r="M346" s="14" t="s">
        <v>543</v>
      </c>
    </row>
    <row r="347" spans="1:14" s="45" customFormat="1" ht="18.600000000000001" x14ac:dyDescent="0.3">
      <c r="A347" s="45" t="s">
        <v>72</v>
      </c>
    </row>
    <row r="348" spans="1:14" s="3" customFormat="1" ht="21" x14ac:dyDescent="0.4">
      <c r="B348" s="27" t="s">
        <v>94</v>
      </c>
      <c r="C348" s="28" t="s">
        <v>130</v>
      </c>
      <c r="D348" s="28">
        <v>535616773</v>
      </c>
      <c r="E348" s="28">
        <v>535639574</v>
      </c>
      <c r="F348" s="48">
        <f>(E348-D348)/1000</f>
        <v>22.800999999999998</v>
      </c>
      <c r="G348" s="14">
        <v>535628125</v>
      </c>
      <c r="H348" s="14">
        <v>535630577</v>
      </c>
      <c r="I348" s="14">
        <v>2453</v>
      </c>
      <c r="J348" s="14" t="s">
        <v>138</v>
      </c>
      <c r="K348" s="14" t="s">
        <v>169</v>
      </c>
      <c r="L348" s="14" t="s">
        <v>169</v>
      </c>
      <c r="M348" s="14" t="s">
        <v>170</v>
      </c>
      <c r="N348" s="14"/>
    </row>
    <row r="349" spans="1:14" s="3" customFormat="1" ht="21" x14ac:dyDescent="0.4">
      <c r="B349" s="27"/>
      <c r="C349" s="28"/>
      <c r="D349" s="28"/>
      <c r="E349" s="28"/>
      <c r="F349" s="48"/>
      <c r="G349" s="14">
        <v>535636492</v>
      </c>
      <c r="H349" s="14">
        <v>535639591</v>
      </c>
      <c r="I349" s="14">
        <v>3100</v>
      </c>
      <c r="J349" s="14" t="s">
        <v>138</v>
      </c>
      <c r="K349" s="19" t="s">
        <v>171</v>
      </c>
      <c r="L349" s="19" t="s">
        <v>171</v>
      </c>
      <c r="M349" s="14" t="s">
        <v>170</v>
      </c>
      <c r="N349" s="14"/>
    </row>
    <row r="350" spans="1:14" s="3" customFormat="1" ht="21" x14ac:dyDescent="0.4">
      <c r="B350" s="27"/>
      <c r="C350" s="28"/>
      <c r="D350" s="28"/>
      <c r="E350" s="28"/>
      <c r="F350" s="48"/>
      <c r="G350" s="14">
        <v>535638702</v>
      </c>
      <c r="H350" s="14">
        <v>535641754</v>
      </c>
      <c r="I350" s="14">
        <v>3053</v>
      </c>
      <c r="J350" s="14" t="s">
        <v>131</v>
      </c>
      <c r="K350" s="14" t="s">
        <v>172</v>
      </c>
      <c r="L350" s="14" t="s">
        <v>172</v>
      </c>
      <c r="M350" s="14" t="s">
        <v>170</v>
      </c>
      <c r="N350" s="14"/>
    </row>
    <row r="351" spans="1:14" s="3" customFormat="1" ht="21" x14ac:dyDescent="0.4">
      <c r="B351" s="27" t="s">
        <v>95</v>
      </c>
      <c r="C351" s="28" t="s">
        <v>130</v>
      </c>
      <c r="D351" s="28">
        <v>535616773</v>
      </c>
      <c r="E351" s="28">
        <v>535640389</v>
      </c>
      <c r="F351" s="48">
        <f>(E351-D351)/1000</f>
        <v>23.616</v>
      </c>
      <c r="G351" s="14">
        <v>535628125</v>
      </c>
      <c r="H351" s="14">
        <v>535630577</v>
      </c>
      <c r="I351" s="14">
        <v>2453</v>
      </c>
      <c r="J351" s="14" t="s">
        <v>138</v>
      </c>
      <c r="K351" s="14" t="s">
        <v>169</v>
      </c>
      <c r="L351" s="14" t="s">
        <v>169</v>
      </c>
      <c r="M351" s="14" t="s">
        <v>170</v>
      </c>
      <c r="N351" s="14"/>
    </row>
    <row r="352" spans="1:14" s="3" customFormat="1" ht="21" x14ac:dyDescent="0.4">
      <c r="B352" s="27"/>
      <c r="C352" s="28"/>
      <c r="D352" s="28"/>
      <c r="E352" s="28"/>
      <c r="F352" s="48"/>
      <c r="G352" s="14">
        <v>535636492</v>
      </c>
      <c r="H352" s="14">
        <v>535639591</v>
      </c>
      <c r="I352" s="14">
        <v>3100</v>
      </c>
      <c r="J352" s="14" t="s">
        <v>138</v>
      </c>
      <c r="K352" s="14" t="s">
        <v>171</v>
      </c>
      <c r="L352" s="14" t="s">
        <v>171</v>
      </c>
      <c r="M352" s="14" t="s">
        <v>170</v>
      </c>
      <c r="N352" s="14"/>
    </row>
    <row r="353" spans="2:14" s="3" customFormat="1" ht="21" x14ac:dyDescent="0.4">
      <c r="B353" s="27"/>
      <c r="C353" s="28"/>
      <c r="D353" s="28"/>
      <c r="E353" s="28"/>
      <c r="F353" s="48"/>
      <c r="G353" s="14">
        <v>535638702</v>
      </c>
      <c r="H353" s="14">
        <v>535641754</v>
      </c>
      <c r="I353" s="14">
        <v>3053</v>
      </c>
      <c r="J353" s="14" t="s">
        <v>131</v>
      </c>
      <c r="K353" s="19" t="s">
        <v>172</v>
      </c>
      <c r="L353" s="19" t="s">
        <v>172</v>
      </c>
      <c r="M353" s="14" t="s">
        <v>170</v>
      </c>
      <c r="N353" s="14"/>
    </row>
    <row r="354" spans="2:14" s="3" customFormat="1" ht="21" x14ac:dyDescent="0.4">
      <c r="B354" s="27" t="s">
        <v>96</v>
      </c>
      <c r="C354" s="28" t="s">
        <v>130</v>
      </c>
      <c r="D354" s="28">
        <v>535616773</v>
      </c>
      <c r="E354" s="28">
        <v>535639858</v>
      </c>
      <c r="F354" s="48">
        <f>(E354-D354)/1000</f>
        <v>23.085000000000001</v>
      </c>
      <c r="G354" s="14">
        <v>535628125</v>
      </c>
      <c r="H354" s="14">
        <v>535630577</v>
      </c>
      <c r="I354" s="14">
        <v>2453</v>
      </c>
      <c r="J354" s="14" t="s">
        <v>138</v>
      </c>
      <c r="K354" s="14" t="s">
        <v>169</v>
      </c>
      <c r="L354" s="14" t="s">
        <v>169</v>
      </c>
      <c r="M354" s="14" t="s">
        <v>170</v>
      </c>
      <c r="N354" s="14"/>
    </row>
    <row r="355" spans="2:14" s="3" customFormat="1" ht="21" x14ac:dyDescent="0.4">
      <c r="B355" s="27"/>
      <c r="C355" s="28"/>
      <c r="D355" s="28"/>
      <c r="E355" s="28"/>
      <c r="F355" s="48"/>
      <c r="G355" s="14">
        <v>535636492</v>
      </c>
      <c r="H355" s="14">
        <v>535639591</v>
      </c>
      <c r="I355" s="14">
        <v>3100</v>
      </c>
      <c r="J355" s="14" t="s">
        <v>138</v>
      </c>
      <c r="K355" s="14" t="s">
        <v>171</v>
      </c>
      <c r="L355" s="14" t="s">
        <v>171</v>
      </c>
      <c r="M355" s="14" t="s">
        <v>170</v>
      </c>
      <c r="N355" s="14"/>
    </row>
    <row r="356" spans="2:14" s="3" customFormat="1" ht="21" x14ac:dyDescent="0.4">
      <c r="B356" s="27"/>
      <c r="C356" s="28"/>
      <c r="D356" s="28"/>
      <c r="E356" s="28"/>
      <c r="F356" s="48"/>
      <c r="G356" s="14">
        <v>535638702</v>
      </c>
      <c r="H356" s="14">
        <v>535641754</v>
      </c>
      <c r="I356" s="14">
        <v>3053</v>
      </c>
      <c r="J356" s="14" t="s">
        <v>131</v>
      </c>
      <c r="K356" s="19" t="s">
        <v>172</v>
      </c>
      <c r="L356" s="19" t="s">
        <v>172</v>
      </c>
      <c r="M356" s="14" t="s">
        <v>170</v>
      </c>
      <c r="N356" s="14"/>
    </row>
    <row r="357" spans="2:14" s="3" customFormat="1" ht="21" x14ac:dyDescent="0.4">
      <c r="B357" s="14" t="s">
        <v>57</v>
      </c>
      <c r="C357" s="14" t="s">
        <v>228</v>
      </c>
      <c r="D357" s="5"/>
      <c r="E357" s="5"/>
      <c r="F357" s="5"/>
      <c r="G357" s="14"/>
      <c r="H357" s="14"/>
      <c r="I357" s="14"/>
      <c r="J357" s="14"/>
      <c r="K357" s="14"/>
      <c r="L357" s="14"/>
      <c r="M357" s="14"/>
      <c r="N357" s="14"/>
    </row>
    <row r="358" spans="2:14" s="3" customFormat="1" ht="21" x14ac:dyDescent="0.4">
      <c r="B358" s="28" t="s">
        <v>97</v>
      </c>
      <c r="C358" s="28" t="s">
        <v>205</v>
      </c>
      <c r="D358" s="28">
        <v>294497379</v>
      </c>
      <c r="E358" s="28">
        <v>294659177</v>
      </c>
      <c r="F358" s="48">
        <f>(E358-D358)/1000</f>
        <v>161.798</v>
      </c>
      <c r="G358" s="14">
        <v>294494817</v>
      </c>
      <c r="H358" s="14">
        <v>294504724</v>
      </c>
      <c r="I358" s="14">
        <v>9908</v>
      </c>
      <c r="J358" s="14" t="s">
        <v>131</v>
      </c>
      <c r="K358" s="14" t="s">
        <v>277</v>
      </c>
      <c r="L358" s="14" t="s">
        <v>277</v>
      </c>
      <c r="M358" s="14" t="s">
        <v>278</v>
      </c>
      <c r="N358" s="14"/>
    </row>
    <row r="359" spans="2:14" s="3" customFormat="1" ht="21" x14ac:dyDescent="0.4">
      <c r="B359" s="28"/>
      <c r="C359" s="28"/>
      <c r="D359" s="28"/>
      <c r="E359" s="28"/>
      <c r="F359" s="48"/>
      <c r="G359" s="14">
        <v>294522925</v>
      </c>
      <c r="H359" s="14">
        <v>294525061</v>
      </c>
      <c r="I359" s="14">
        <v>2137</v>
      </c>
      <c r="J359" s="14" t="s">
        <v>131</v>
      </c>
      <c r="K359" s="14" t="s">
        <v>279</v>
      </c>
      <c r="L359" s="14" t="s">
        <v>279</v>
      </c>
      <c r="M359" s="14" t="s">
        <v>280</v>
      </c>
      <c r="N359" s="14"/>
    </row>
    <row r="360" spans="2:14" s="3" customFormat="1" ht="21" x14ac:dyDescent="0.4">
      <c r="B360" s="28"/>
      <c r="C360" s="28"/>
      <c r="D360" s="28"/>
      <c r="E360" s="28"/>
      <c r="F360" s="48"/>
      <c r="G360" s="14">
        <v>294547626</v>
      </c>
      <c r="H360" s="14">
        <v>294548504</v>
      </c>
      <c r="I360" s="14">
        <v>879</v>
      </c>
      <c r="J360" s="14" t="s">
        <v>138</v>
      </c>
      <c r="K360" s="14" t="s">
        <v>281</v>
      </c>
      <c r="L360" s="14" t="s">
        <v>281</v>
      </c>
      <c r="M360" s="14" t="s">
        <v>282</v>
      </c>
      <c r="N360" s="14"/>
    </row>
    <row r="361" spans="2:14" s="3" customFormat="1" ht="21" x14ac:dyDescent="0.4">
      <c r="B361" s="28"/>
      <c r="C361" s="28"/>
      <c r="D361" s="28"/>
      <c r="E361" s="28"/>
      <c r="F361" s="48"/>
      <c r="G361" s="14">
        <v>294593170</v>
      </c>
      <c r="H361" s="14">
        <v>294594015</v>
      </c>
      <c r="I361" s="14">
        <v>846</v>
      </c>
      <c r="J361" s="14" t="s">
        <v>131</v>
      </c>
      <c r="K361" s="14" t="s">
        <v>283</v>
      </c>
      <c r="L361" s="14" t="s">
        <v>283</v>
      </c>
      <c r="M361" s="14" t="s">
        <v>158</v>
      </c>
      <c r="N361" s="14"/>
    </row>
    <row r="362" spans="2:14" s="3" customFormat="1" ht="21" x14ac:dyDescent="0.4">
      <c r="B362" s="28"/>
      <c r="C362" s="28"/>
      <c r="D362" s="28"/>
      <c r="E362" s="28"/>
      <c r="F362" s="48"/>
      <c r="G362" s="14">
        <v>294652677</v>
      </c>
      <c r="H362" s="14">
        <v>294655123</v>
      </c>
      <c r="I362" s="14">
        <v>2447</v>
      </c>
      <c r="J362" s="14" t="s">
        <v>131</v>
      </c>
      <c r="K362" s="14" t="s">
        <v>284</v>
      </c>
      <c r="L362" s="14" t="s">
        <v>284</v>
      </c>
      <c r="M362" s="14" t="s">
        <v>285</v>
      </c>
      <c r="N362" s="14"/>
    </row>
    <row r="363" spans="2:14" s="3" customFormat="1" ht="21" x14ac:dyDescent="0.4">
      <c r="B363" s="28"/>
      <c r="C363" s="28"/>
      <c r="D363" s="28"/>
      <c r="E363" s="28"/>
      <c r="F363" s="48"/>
      <c r="G363" s="14"/>
      <c r="H363" s="14"/>
      <c r="I363" s="14"/>
      <c r="J363" s="14"/>
      <c r="K363" s="14"/>
      <c r="L363" s="14"/>
      <c r="M363" s="14"/>
      <c r="N363" s="14"/>
    </row>
    <row r="364" spans="2:14" s="3" customFormat="1" ht="21" x14ac:dyDescent="0.4">
      <c r="B364" s="14" t="s">
        <v>98</v>
      </c>
      <c r="C364" s="14" t="s">
        <v>205</v>
      </c>
      <c r="D364" s="14">
        <v>295323540</v>
      </c>
      <c r="E364" s="14">
        <v>295337175</v>
      </c>
      <c r="F364" s="20">
        <f>(E364-D364)/1000</f>
        <v>13.635</v>
      </c>
      <c r="G364" s="14">
        <v>295335360</v>
      </c>
      <c r="H364" s="14">
        <v>295335725</v>
      </c>
      <c r="I364" s="14">
        <v>366</v>
      </c>
      <c r="J364" s="14" t="s">
        <v>131</v>
      </c>
      <c r="K364" s="14" t="s">
        <v>302</v>
      </c>
      <c r="L364" s="14" t="s">
        <v>302</v>
      </c>
      <c r="M364" s="14" t="s">
        <v>303</v>
      </c>
      <c r="N364" s="14"/>
    </row>
    <row r="365" spans="2:14" s="3" customFormat="1" ht="21" x14ac:dyDescent="0.4">
      <c r="B365" s="14" t="s">
        <v>99</v>
      </c>
      <c r="C365" s="14" t="s">
        <v>228</v>
      </c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</row>
    <row r="366" spans="2:14" s="3" customFormat="1" ht="32.4" customHeight="1" x14ac:dyDescent="0.4">
      <c r="B366" s="28" t="s">
        <v>100</v>
      </c>
      <c r="C366" s="28" t="s">
        <v>312</v>
      </c>
      <c r="D366" s="28">
        <v>384387000</v>
      </c>
      <c r="E366" s="28">
        <v>384472399</v>
      </c>
      <c r="F366" s="48">
        <f>(E366-D366)/1000</f>
        <v>85.399000000000001</v>
      </c>
      <c r="G366" s="14">
        <v>384387176</v>
      </c>
      <c r="H366" s="14">
        <v>384389808</v>
      </c>
      <c r="I366" s="14">
        <v>2633</v>
      </c>
      <c r="J366" s="14" t="s">
        <v>138</v>
      </c>
      <c r="K366" s="14" t="s">
        <v>335</v>
      </c>
      <c r="L366" s="14" t="s">
        <v>335</v>
      </c>
      <c r="M366" s="14" t="s">
        <v>336</v>
      </c>
      <c r="N366" s="14"/>
    </row>
    <row r="367" spans="2:14" s="3" customFormat="1" ht="21" x14ac:dyDescent="0.4">
      <c r="B367" s="28"/>
      <c r="C367" s="28"/>
      <c r="D367" s="28"/>
      <c r="E367" s="28"/>
      <c r="F367" s="48"/>
      <c r="G367" s="14">
        <v>384434555</v>
      </c>
      <c r="H367" s="14">
        <v>384436975</v>
      </c>
      <c r="I367" s="14">
        <v>2421</v>
      </c>
      <c r="J367" s="14" t="s">
        <v>131</v>
      </c>
      <c r="K367" s="14" t="s">
        <v>337</v>
      </c>
      <c r="L367" s="14" t="s">
        <v>337</v>
      </c>
      <c r="M367" s="14" t="s">
        <v>338</v>
      </c>
      <c r="N367" s="14"/>
    </row>
    <row r="368" spans="2:14" s="3" customFormat="1" ht="21" x14ac:dyDescent="0.4">
      <c r="B368" s="28"/>
      <c r="C368" s="28"/>
      <c r="D368" s="28"/>
      <c r="E368" s="28"/>
      <c r="F368" s="48"/>
      <c r="G368" s="14">
        <v>384448606</v>
      </c>
      <c r="H368" s="14">
        <v>384449753</v>
      </c>
      <c r="I368" s="14">
        <v>1148</v>
      </c>
      <c r="J368" s="14" t="s">
        <v>131</v>
      </c>
      <c r="K368" s="14" t="s">
        <v>339</v>
      </c>
      <c r="L368" s="14" t="s">
        <v>339</v>
      </c>
      <c r="M368" s="14" t="s">
        <v>340</v>
      </c>
      <c r="N368" s="14"/>
    </row>
    <row r="369" spans="1:14" s="3" customFormat="1" ht="21" x14ac:dyDescent="0.4">
      <c r="B369" s="28"/>
      <c r="C369" s="28"/>
      <c r="D369" s="28"/>
      <c r="E369" s="28"/>
      <c r="F369" s="48"/>
      <c r="G369" s="14">
        <v>384457223</v>
      </c>
      <c r="H369" s="14">
        <v>384471534</v>
      </c>
      <c r="I369" s="14">
        <v>14312</v>
      </c>
      <c r="J369" s="14" t="s">
        <v>138</v>
      </c>
      <c r="K369" s="14" t="s">
        <v>341</v>
      </c>
      <c r="L369" s="14" t="s">
        <v>341</v>
      </c>
      <c r="M369" s="14" t="s">
        <v>190</v>
      </c>
      <c r="N369" s="14"/>
    </row>
    <row r="370" spans="1:14" s="3" customFormat="1" ht="31.2" customHeight="1" x14ac:dyDescent="0.4">
      <c r="B370" s="28" t="s">
        <v>101</v>
      </c>
      <c r="C370" s="28" t="s">
        <v>312</v>
      </c>
      <c r="D370" s="28">
        <v>384200390</v>
      </c>
      <c r="E370" s="28">
        <v>384283670</v>
      </c>
      <c r="F370" s="28">
        <f>(E370-D370)/1000</f>
        <v>83.28</v>
      </c>
      <c r="G370" s="14">
        <v>384197982</v>
      </c>
      <c r="H370" s="14">
        <v>384207181</v>
      </c>
      <c r="I370" s="14">
        <v>9200</v>
      </c>
      <c r="J370" s="14" t="s">
        <v>131</v>
      </c>
      <c r="K370" s="14" t="s">
        <v>331</v>
      </c>
      <c r="L370" s="14" t="s">
        <v>331</v>
      </c>
      <c r="M370" s="14" t="s">
        <v>332</v>
      </c>
      <c r="N370" s="14"/>
    </row>
    <row r="371" spans="1:14" s="3" customFormat="1" ht="21" x14ac:dyDescent="0.4">
      <c r="B371" s="28"/>
      <c r="C371" s="28"/>
      <c r="D371" s="28"/>
      <c r="E371" s="28"/>
      <c r="F371" s="28"/>
      <c r="G371" s="14">
        <v>384278553</v>
      </c>
      <c r="H371" s="14">
        <v>384282331</v>
      </c>
      <c r="I371" s="14">
        <v>3779</v>
      </c>
      <c r="J371" s="14" t="s">
        <v>138</v>
      </c>
      <c r="K371" s="14" t="s">
        <v>333</v>
      </c>
      <c r="L371" s="14" t="s">
        <v>333</v>
      </c>
      <c r="M371" s="14" t="s">
        <v>334</v>
      </c>
      <c r="N371" s="14"/>
    </row>
    <row r="372" spans="1:14" s="3" customFormat="1" ht="21" x14ac:dyDescent="0.4">
      <c r="B372" s="14" t="s">
        <v>102</v>
      </c>
      <c r="C372" s="14" t="s">
        <v>177</v>
      </c>
      <c r="D372" s="21">
        <v>171505156</v>
      </c>
      <c r="E372" s="21">
        <v>171648715</v>
      </c>
      <c r="F372" s="21">
        <v>143.6</v>
      </c>
      <c r="G372" s="14">
        <v>171557846</v>
      </c>
      <c r="H372" s="14">
        <v>171558492</v>
      </c>
      <c r="I372" s="14">
        <v>647</v>
      </c>
      <c r="J372" s="14" t="s">
        <v>131</v>
      </c>
      <c r="K372" s="14" t="s">
        <v>526</v>
      </c>
      <c r="L372" s="14" t="s">
        <v>526</v>
      </c>
      <c r="M372" s="14" t="s">
        <v>527</v>
      </c>
      <c r="N372" s="14"/>
    </row>
    <row r="373" spans="1:14" s="45" customFormat="1" ht="21" customHeight="1" x14ac:dyDescent="0.3">
      <c r="A373" s="45" t="s">
        <v>103</v>
      </c>
    </row>
    <row r="374" spans="1:14" s="3" customFormat="1" ht="21" x14ac:dyDescent="0.4">
      <c r="B374" s="22" t="s">
        <v>104</v>
      </c>
      <c r="C374" s="22" t="s">
        <v>229</v>
      </c>
      <c r="D374" s="22">
        <v>43002675</v>
      </c>
      <c r="E374" s="22">
        <v>43072765</v>
      </c>
      <c r="F374" s="22">
        <v>70.09</v>
      </c>
      <c r="G374" s="22">
        <v>43064675</v>
      </c>
      <c r="H374" s="22">
        <v>43067266</v>
      </c>
      <c r="I374" s="22">
        <v>2592</v>
      </c>
      <c r="J374" s="22" t="s">
        <v>131</v>
      </c>
      <c r="K374" s="22" t="s">
        <v>592</v>
      </c>
      <c r="L374" s="22" t="s">
        <v>592</v>
      </c>
      <c r="M374" s="22" t="s">
        <v>593</v>
      </c>
    </row>
    <row r="375" spans="1:14" s="3" customFormat="1" ht="21" x14ac:dyDescent="0.4">
      <c r="B375" s="22"/>
      <c r="C375" s="22"/>
      <c r="D375" s="22"/>
      <c r="E375" s="22"/>
      <c r="F375" s="22"/>
      <c r="G375" s="22">
        <v>43364676</v>
      </c>
      <c r="H375" s="22">
        <v>43374204</v>
      </c>
      <c r="I375" s="22">
        <v>9529</v>
      </c>
      <c r="J375" s="22" t="s">
        <v>131</v>
      </c>
      <c r="K375" s="22" t="s">
        <v>594</v>
      </c>
      <c r="L375" s="22" t="s">
        <v>594</v>
      </c>
      <c r="M375" s="22" t="s">
        <v>595</v>
      </c>
    </row>
    <row r="376" spans="1:14" s="3" customFormat="1" ht="21" x14ac:dyDescent="0.4">
      <c r="B376" s="22"/>
      <c r="C376" s="22"/>
      <c r="D376" s="22"/>
      <c r="E376" s="22"/>
      <c r="F376" s="22"/>
      <c r="G376" s="22">
        <v>43381523</v>
      </c>
      <c r="H376" s="22">
        <v>43382089</v>
      </c>
      <c r="I376" s="22">
        <v>567</v>
      </c>
      <c r="J376" s="22" t="s">
        <v>131</v>
      </c>
      <c r="K376" s="22" t="s">
        <v>596</v>
      </c>
      <c r="L376" s="22" t="s">
        <v>596</v>
      </c>
      <c r="M376" s="22" t="s">
        <v>148</v>
      </c>
    </row>
    <row r="377" spans="1:14" s="3" customFormat="1" ht="21" x14ac:dyDescent="0.4">
      <c r="B377" s="22" t="s">
        <v>105</v>
      </c>
      <c r="C377" s="22" t="s">
        <v>229</v>
      </c>
      <c r="D377" s="22">
        <v>43365623</v>
      </c>
      <c r="E377" s="22">
        <v>43630138</v>
      </c>
      <c r="F377" s="22">
        <v>264.51499999999999</v>
      </c>
      <c r="G377" s="22">
        <v>43382299</v>
      </c>
      <c r="H377" s="22">
        <v>43384844</v>
      </c>
      <c r="I377" s="22">
        <v>2546</v>
      </c>
      <c r="J377" s="22" t="s">
        <v>131</v>
      </c>
      <c r="K377" s="22" t="s">
        <v>597</v>
      </c>
      <c r="L377" s="22" t="s">
        <v>597</v>
      </c>
      <c r="M377" s="22" t="s">
        <v>158</v>
      </c>
    </row>
    <row r="378" spans="1:14" s="3" customFormat="1" ht="21" x14ac:dyDescent="0.4">
      <c r="B378" s="22"/>
      <c r="C378" s="22"/>
      <c r="D378" s="22"/>
      <c r="E378" s="22"/>
      <c r="F378" s="22"/>
      <c r="G378" s="22">
        <v>43515456</v>
      </c>
      <c r="H378" s="22">
        <v>43516056</v>
      </c>
      <c r="I378" s="22">
        <v>601</v>
      </c>
      <c r="J378" s="22" t="s">
        <v>138</v>
      </c>
      <c r="K378" s="22" t="s">
        <v>598</v>
      </c>
      <c r="L378" s="22" t="s">
        <v>598</v>
      </c>
      <c r="M378" s="22" t="s">
        <v>599</v>
      </c>
    </row>
    <row r="379" spans="1:14" s="3" customFormat="1" ht="21" x14ac:dyDescent="0.4">
      <c r="B379" s="22"/>
      <c r="C379" s="22"/>
      <c r="D379" s="22"/>
      <c r="E379" s="22"/>
      <c r="F379" s="22"/>
      <c r="G379" s="22">
        <v>43567551</v>
      </c>
      <c r="H379" s="22">
        <v>43568413</v>
      </c>
      <c r="I379" s="22">
        <v>863</v>
      </c>
      <c r="J379" s="22" t="s">
        <v>131</v>
      </c>
      <c r="K379" s="22" t="s">
        <v>600</v>
      </c>
      <c r="L379" s="22" t="s">
        <v>600</v>
      </c>
      <c r="M379" s="22" t="s">
        <v>601</v>
      </c>
    </row>
    <row r="380" spans="1:14" s="3" customFormat="1" ht="21" x14ac:dyDescent="0.4">
      <c r="B380" s="22" t="s">
        <v>106</v>
      </c>
      <c r="C380" s="22" t="s">
        <v>312</v>
      </c>
      <c r="D380" s="22">
        <v>330892446</v>
      </c>
      <c r="E380" s="22">
        <v>331021250</v>
      </c>
      <c r="F380" s="22">
        <v>128.804</v>
      </c>
      <c r="G380" s="22">
        <v>330893183</v>
      </c>
      <c r="H380" s="22">
        <v>330894112</v>
      </c>
      <c r="I380" s="22">
        <v>930</v>
      </c>
      <c r="J380" s="22" t="s">
        <v>138</v>
      </c>
      <c r="K380" s="22" t="s">
        <v>602</v>
      </c>
      <c r="L380" s="22" t="s">
        <v>602</v>
      </c>
      <c r="M380" s="22" t="s">
        <v>150</v>
      </c>
    </row>
    <row r="381" spans="1:14" s="3" customFormat="1" ht="21" x14ac:dyDescent="0.4">
      <c r="B381" s="22"/>
      <c r="C381" s="22"/>
      <c r="D381" s="22"/>
      <c r="E381" s="22"/>
      <c r="F381" s="22"/>
      <c r="G381" s="22">
        <v>330916038</v>
      </c>
      <c r="H381" s="22">
        <v>330916766</v>
      </c>
      <c r="I381" s="22">
        <v>729</v>
      </c>
      <c r="J381" s="22" t="s">
        <v>131</v>
      </c>
      <c r="K381" s="22" t="s">
        <v>603</v>
      </c>
      <c r="L381" s="22" t="s">
        <v>603</v>
      </c>
      <c r="M381" s="22" t="s">
        <v>604</v>
      </c>
    </row>
    <row r="382" spans="1:14" s="3" customFormat="1" ht="21" x14ac:dyDescent="0.4">
      <c r="B382" s="22"/>
      <c r="C382" s="22"/>
      <c r="D382" s="22"/>
      <c r="E382" s="22"/>
      <c r="F382" s="22"/>
      <c r="G382" s="22">
        <v>330956036</v>
      </c>
      <c r="H382" s="22">
        <v>330956549</v>
      </c>
      <c r="I382" s="22">
        <v>514</v>
      </c>
      <c r="J382" s="22" t="s">
        <v>131</v>
      </c>
      <c r="K382" s="22" t="s">
        <v>605</v>
      </c>
      <c r="L382" s="22" t="s">
        <v>605</v>
      </c>
      <c r="M382" s="22" t="s">
        <v>150</v>
      </c>
    </row>
    <row r="383" spans="1:14" s="3" customFormat="1" ht="21" x14ac:dyDescent="0.4">
      <c r="B383" s="22" t="s">
        <v>107</v>
      </c>
      <c r="C383" s="22" t="s">
        <v>312</v>
      </c>
      <c r="D383" s="22">
        <v>331187628</v>
      </c>
      <c r="E383" s="22">
        <v>331273079</v>
      </c>
      <c r="F383" s="22">
        <v>85.450999999999993</v>
      </c>
      <c r="G383" s="22">
        <v>331208830</v>
      </c>
      <c r="H383" s="22">
        <v>331209425</v>
      </c>
      <c r="I383" s="22">
        <v>596</v>
      </c>
      <c r="J383" s="22" t="s">
        <v>138</v>
      </c>
      <c r="K383" s="22" t="s">
        <v>606</v>
      </c>
      <c r="L383" s="22" t="s">
        <v>606</v>
      </c>
      <c r="M383" s="22" t="s">
        <v>150</v>
      </c>
    </row>
    <row r="384" spans="1:14" s="3" customFormat="1" ht="21" x14ac:dyDescent="0.4">
      <c r="B384" s="22"/>
      <c r="C384" s="22"/>
      <c r="D384" s="22"/>
      <c r="E384" s="22"/>
      <c r="F384" s="22"/>
      <c r="G384" s="22">
        <v>331230275</v>
      </c>
      <c r="H384" s="22">
        <v>331231049</v>
      </c>
      <c r="I384" s="22">
        <v>775</v>
      </c>
      <c r="J384" s="22" t="s">
        <v>131</v>
      </c>
      <c r="K384" s="22" t="s">
        <v>607</v>
      </c>
      <c r="L384" s="22" t="s">
        <v>607</v>
      </c>
      <c r="M384" s="22" t="s">
        <v>187</v>
      </c>
    </row>
    <row r="385" spans="1:13" s="3" customFormat="1" ht="21" x14ac:dyDescent="0.4">
      <c r="B385" s="22" t="s">
        <v>108</v>
      </c>
      <c r="C385" s="22" t="s">
        <v>312</v>
      </c>
      <c r="D385" s="22">
        <v>331933594</v>
      </c>
      <c r="E385" s="22">
        <v>331989479</v>
      </c>
      <c r="F385" s="22">
        <v>55.884999999999998</v>
      </c>
      <c r="G385" s="22">
        <v>331988609</v>
      </c>
      <c r="H385" s="22">
        <v>331991364</v>
      </c>
      <c r="I385" s="22">
        <v>2756</v>
      </c>
      <c r="J385" s="22" t="s">
        <v>131</v>
      </c>
      <c r="K385" s="23" t="s">
        <v>608</v>
      </c>
      <c r="L385" s="23" t="s">
        <v>608</v>
      </c>
      <c r="M385" s="22" t="s">
        <v>609</v>
      </c>
    </row>
    <row r="386" spans="1:13" s="3" customFormat="1" ht="21" x14ac:dyDescent="0.4">
      <c r="B386" s="22" t="s">
        <v>109</v>
      </c>
      <c r="C386" s="22" t="s">
        <v>312</v>
      </c>
      <c r="D386" s="22">
        <v>330884667</v>
      </c>
      <c r="E386" s="22">
        <v>331000192</v>
      </c>
      <c r="F386" s="22">
        <v>115.52500000000001</v>
      </c>
      <c r="G386" s="22">
        <v>330879223</v>
      </c>
      <c r="H386" s="22">
        <v>330885812</v>
      </c>
      <c r="I386" s="22">
        <v>6590</v>
      </c>
      <c r="J386" s="22" t="s">
        <v>138</v>
      </c>
      <c r="K386" s="22" t="s">
        <v>610</v>
      </c>
      <c r="L386" s="22" t="s">
        <v>610</v>
      </c>
      <c r="M386" s="22" t="s">
        <v>611</v>
      </c>
    </row>
    <row r="387" spans="1:13" s="3" customFormat="1" ht="21" x14ac:dyDescent="0.4">
      <c r="B387" s="22"/>
      <c r="C387" s="22"/>
      <c r="D387" s="22"/>
      <c r="E387" s="22"/>
      <c r="F387" s="22"/>
      <c r="G387" s="22">
        <v>330888176</v>
      </c>
      <c r="H387" s="22">
        <v>330890274</v>
      </c>
      <c r="I387" s="22">
        <v>2099</v>
      </c>
      <c r="J387" s="22" t="s">
        <v>138</v>
      </c>
      <c r="K387" s="22" t="s">
        <v>612</v>
      </c>
      <c r="L387" s="22" t="s">
        <v>612</v>
      </c>
      <c r="M387" s="22" t="s">
        <v>613</v>
      </c>
    </row>
    <row r="388" spans="1:13" s="3" customFormat="1" ht="21" x14ac:dyDescent="0.4">
      <c r="B388" s="22"/>
      <c r="C388" s="22"/>
      <c r="D388" s="22"/>
      <c r="E388" s="22"/>
      <c r="F388" s="22"/>
      <c r="G388" s="22">
        <v>330890950</v>
      </c>
      <c r="H388" s="22">
        <v>330892596</v>
      </c>
      <c r="I388" s="22">
        <v>1647</v>
      </c>
      <c r="J388" s="22" t="s">
        <v>138</v>
      </c>
      <c r="K388" s="23" t="s">
        <v>614</v>
      </c>
      <c r="L388" s="23" t="s">
        <v>614</v>
      </c>
      <c r="M388" s="22" t="s">
        <v>158</v>
      </c>
    </row>
    <row r="389" spans="1:13" s="3" customFormat="1" ht="21" x14ac:dyDescent="0.4">
      <c r="A389" s="2"/>
      <c r="B389" s="22"/>
      <c r="C389" s="22"/>
      <c r="D389" s="24"/>
      <c r="E389" s="24"/>
      <c r="F389" s="24"/>
      <c r="G389" s="22">
        <v>330893183</v>
      </c>
      <c r="H389" s="22">
        <v>330894112</v>
      </c>
      <c r="I389" s="22">
        <v>930</v>
      </c>
      <c r="J389" s="22" t="s">
        <v>138</v>
      </c>
      <c r="K389" s="22" t="s">
        <v>602</v>
      </c>
      <c r="L389" s="22" t="s">
        <v>602</v>
      </c>
      <c r="M389" s="22" t="s">
        <v>150</v>
      </c>
    </row>
    <row r="390" spans="1:13" s="3" customFormat="1" ht="21" x14ac:dyDescent="0.4">
      <c r="A390" s="2"/>
      <c r="B390" s="22"/>
      <c r="C390" s="22"/>
      <c r="D390" s="24"/>
      <c r="E390" s="24"/>
      <c r="F390" s="24"/>
      <c r="G390" s="22">
        <v>330916038</v>
      </c>
      <c r="H390" s="22">
        <v>330916766</v>
      </c>
      <c r="I390" s="22">
        <v>729</v>
      </c>
      <c r="J390" s="22" t="s">
        <v>131</v>
      </c>
      <c r="K390" s="22" t="s">
        <v>603</v>
      </c>
      <c r="L390" s="22" t="s">
        <v>603</v>
      </c>
      <c r="M390" s="22" t="s">
        <v>604</v>
      </c>
    </row>
    <row r="391" spans="1:13" s="3" customFormat="1" ht="21" x14ac:dyDescent="0.4">
      <c r="A391" s="2"/>
      <c r="B391" s="22"/>
      <c r="C391" s="22"/>
      <c r="D391" s="24"/>
      <c r="E391" s="24"/>
      <c r="F391" s="24"/>
      <c r="G391" s="22">
        <v>330956036</v>
      </c>
      <c r="H391" s="22">
        <v>330956549</v>
      </c>
      <c r="I391" s="22">
        <v>514</v>
      </c>
      <c r="J391" s="22" t="s">
        <v>131</v>
      </c>
      <c r="K391" s="22" t="s">
        <v>605</v>
      </c>
      <c r="L391" s="22" t="s">
        <v>605</v>
      </c>
      <c r="M391" s="22" t="s">
        <v>150</v>
      </c>
    </row>
    <row r="392" spans="1:13" s="3" customFormat="1" ht="21" x14ac:dyDescent="0.4">
      <c r="A392" s="2"/>
      <c r="B392" s="22" t="s">
        <v>110</v>
      </c>
      <c r="C392" s="22" t="s">
        <v>312</v>
      </c>
      <c r="D392" s="22">
        <v>332003454</v>
      </c>
      <c r="E392" s="22">
        <v>332056411</v>
      </c>
      <c r="F392" s="22">
        <v>52.957000000000001</v>
      </c>
      <c r="G392" s="22">
        <v>332002863</v>
      </c>
      <c r="H392" s="22">
        <v>332003588</v>
      </c>
      <c r="I392" s="22">
        <v>726</v>
      </c>
      <c r="J392" s="22" t="s">
        <v>138</v>
      </c>
      <c r="K392" s="22" t="s">
        <v>615</v>
      </c>
      <c r="L392" s="22" t="s">
        <v>615</v>
      </c>
      <c r="M392" s="22" t="s">
        <v>616</v>
      </c>
    </row>
    <row r="393" spans="1:13" s="3" customFormat="1" ht="21" x14ac:dyDescent="0.4">
      <c r="A393" s="2"/>
      <c r="B393" s="22" t="s">
        <v>111</v>
      </c>
      <c r="C393" s="22" t="s">
        <v>312</v>
      </c>
      <c r="D393" s="22">
        <v>331388574</v>
      </c>
      <c r="E393" s="22">
        <v>331496012</v>
      </c>
      <c r="F393" s="22">
        <v>107.438</v>
      </c>
      <c r="G393" s="22">
        <v>331389760</v>
      </c>
      <c r="H393" s="22">
        <v>331391082</v>
      </c>
      <c r="I393" s="22">
        <v>1323</v>
      </c>
      <c r="J393" s="22" t="s">
        <v>138</v>
      </c>
      <c r="K393" s="22" t="s">
        <v>617</v>
      </c>
      <c r="L393" s="22" t="s">
        <v>617</v>
      </c>
      <c r="M393" s="22" t="s">
        <v>150</v>
      </c>
    </row>
    <row r="394" spans="1:13" s="3" customFormat="1" ht="21" x14ac:dyDescent="0.4">
      <c r="A394" s="2"/>
      <c r="B394" s="22"/>
      <c r="C394" s="22"/>
      <c r="D394" s="24"/>
      <c r="E394" s="24"/>
      <c r="F394" s="22"/>
      <c r="G394" s="22">
        <v>331390334</v>
      </c>
      <c r="H394" s="22">
        <v>331390972</v>
      </c>
      <c r="I394" s="22">
        <v>639</v>
      </c>
      <c r="J394" s="22" t="s">
        <v>131</v>
      </c>
      <c r="K394" s="22" t="s">
        <v>618</v>
      </c>
      <c r="L394" s="22" t="s">
        <v>618</v>
      </c>
      <c r="M394" s="22" t="s">
        <v>619</v>
      </c>
    </row>
    <row r="395" spans="1:13" s="3" customFormat="1" ht="21" x14ac:dyDescent="0.4">
      <c r="A395" s="2"/>
      <c r="B395" s="22"/>
      <c r="C395" s="22"/>
      <c r="D395" s="24"/>
      <c r="E395" s="24"/>
      <c r="F395" s="22"/>
      <c r="G395" s="22">
        <v>331491630</v>
      </c>
      <c r="H395" s="22">
        <v>331498434</v>
      </c>
      <c r="I395" s="22">
        <v>6805</v>
      </c>
      <c r="J395" s="22" t="s">
        <v>131</v>
      </c>
      <c r="K395" s="22" t="s">
        <v>620</v>
      </c>
      <c r="L395" s="22" t="s">
        <v>620</v>
      </c>
      <c r="M395" s="22" t="s">
        <v>621</v>
      </c>
    </row>
    <row r="396" spans="1:13" s="2" customFormat="1" ht="21" x14ac:dyDescent="0.4">
      <c r="B396" s="25" t="s">
        <v>112</v>
      </c>
      <c r="C396" s="22" t="s">
        <v>312</v>
      </c>
      <c r="D396" s="22">
        <v>331081219</v>
      </c>
      <c r="E396" s="22">
        <v>331187628</v>
      </c>
      <c r="F396" s="22">
        <v>106.40900000000001</v>
      </c>
      <c r="G396" s="22">
        <v>331138063</v>
      </c>
      <c r="H396" s="22">
        <v>331140378</v>
      </c>
      <c r="I396" s="22">
        <v>2316</v>
      </c>
      <c r="J396" s="22" t="s">
        <v>138</v>
      </c>
      <c r="K396" s="22" t="s">
        <v>622</v>
      </c>
      <c r="L396" s="22" t="s">
        <v>622</v>
      </c>
      <c r="M396" s="22" t="s">
        <v>623</v>
      </c>
    </row>
    <row r="397" spans="1:13" s="2" customFormat="1" ht="21" x14ac:dyDescent="0.4">
      <c r="B397" s="22"/>
      <c r="C397" s="24"/>
      <c r="D397" s="24"/>
      <c r="E397" s="22"/>
      <c r="F397" s="22"/>
      <c r="G397" s="22">
        <v>331166376</v>
      </c>
      <c r="H397" s="22">
        <v>331174914</v>
      </c>
      <c r="I397" s="22">
        <v>8539</v>
      </c>
      <c r="J397" s="22" t="s">
        <v>131</v>
      </c>
      <c r="K397" s="22" t="s">
        <v>624</v>
      </c>
      <c r="L397" s="22" t="s">
        <v>624</v>
      </c>
      <c r="M397" s="22" t="s">
        <v>625</v>
      </c>
    </row>
    <row r="398" spans="1:13" s="2" customFormat="1" ht="21" x14ac:dyDescent="0.4">
      <c r="B398" s="22"/>
      <c r="C398" s="24"/>
      <c r="D398" s="24"/>
      <c r="E398" s="22"/>
      <c r="F398" s="22"/>
      <c r="G398" s="22">
        <v>330890950</v>
      </c>
      <c r="H398" s="22">
        <v>330892596</v>
      </c>
      <c r="I398" s="22">
        <v>1647</v>
      </c>
      <c r="J398" s="22" t="s">
        <v>138</v>
      </c>
      <c r="K398" s="22" t="s">
        <v>614</v>
      </c>
      <c r="L398" s="22" t="s">
        <v>614</v>
      </c>
      <c r="M398" s="22" t="s">
        <v>158</v>
      </c>
    </row>
    <row r="399" spans="1:13" s="2" customFormat="1" ht="21" x14ac:dyDescent="0.4">
      <c r="B399" s="22" t="s">
        <v>113</v>
      </c>
      <c r="C399" s="22" t="s">
        <v>312</v>
      </c>
      <c r="D399" s="22">
        <v>332003454</v>
      </c>
      <c r="E399" s="22">
        <v>332056411</v>
      </c>
      <c r="F399" s="22">
        <v>52.957000000000001</v>
      </c>
      <c r="G399" s="22">
        <v>332002863</v>
      </c>
      <c r="H399" s="22">
        <v>332003588</v>
      </c>
      <c r="I399" s="22">
        <v>726</v>
      </c>
      <c r="J399" s="22" t="s">
        <v>138</v>
      </c>
      <c r="K399" s="22" t="s">
        <v>615</v>
      </c>
      <c r="L399" s="22" t="s">
        <v>615</v>
      </c>
      <c r="M399" s="22" t="s">
        <v>616</v>
      </c>
    </row>
    <row r="400" spans="1:13" s="2" customFormat="1" ht="21" x14ac:dyDescent="0.4">
      <c r="B400" s="25" t="s">
        <v>114</v>
      </c>
      <c r="C400" s="22" t="s">
        <v>177</v>
      </c>
      <c r="D400" s="22">
        <v>529001100</v>
      </c>
      <c r="E400" s="22">
        <v>529064736</v>
      </c>
      <c r="F400" s="22">
        <v>63.636000000000003</v>
      </c>
      <c r="G400" s="22">
        <v>528998683</v>
      </c>
      <c r="H400" s="22">
        <v>529001421</v>
      </c>
      <c r="I400" s="22">
        <v>2739</v>
      </c>
      <c r="J400" s="22" t="s">
        <v>131</v>
      </c>
      <c r="K400" s="22" t="s">
        <v>626</v>
      </c>
      <c r="L400" s="22" t="s">
        <v>626</v>
      </c>
      <c r="M400" s="22" t="s">
        <v>627</v>
      </c>
    </row>
    <row r="401" spans="1:13" s="2" customFormat="1" ht="21" x14ac:dyDescent="0.4">
      <c r="E401" s="3"/>
      <c r="F401" s="3"/>
      <c r="G401" s="22">
        <v>529003086</v>
      </c>
      <c r="H401" s="22">
        <v>529009375</v>
      </c>
      <c r="I401" s="22">
        <v>6290</v>
      </c>
      <c r="J401" s="22" t="s">
        <v>138</v>
      </c>
      <c r="K401" s="23" t="s">
        <v>628</v>
      </c>
      <c r="L401" s="23" t="s">
        <v>628</v>
      </c>
      <c r="M401" s="22" t="s">
        <v>629</v>
      </c>
    </row>
    <row r="402" spans="1:13" s="2" customFormat="1" ht="21" x14ac:dyDescent="0.4">
      <c r="E402" s="3"/>
      <c r="F402" s="3"/>
      <c r="G402" s="22">
        <v>529012757</v>
      </c>
      <c r="H402" s="22">
        <v>529016405</v>
      </c>
      <c r="I402" s="22">
        <v>3649</v>
      </c>
      <c r="J402" s="22" t="s">
        <v>138</v>
      </c>
      <c r="K402" s="25" t="s">
        <v>630</v>
      </c>
      <c r="L402" s="25" t="s">
        <v>630</v>
      </c>
      <c r="M402" s="22" t="s">
        <v>631</v>
      </c>
    </row>
    <row r="403" spans="1:13" s="2" customFormat="1" ht="21" x14ac:dyDescent="0.4">
      <c r="E403" s="3"/>
      <c r="F403" s="3"/>
      <c r="G403" s="22">
        <v>529023474</v>
      </c>
      <c r="H403" s="22">
        <v>529038396</v>
      </c>
      <c r="I403" s="22">
        <v>14923</v>
      </c>
      <c r="J403" s="22" t="s">
        <v>138</v>
      </c>
      <c r="K403" s="22" t="s">
        <v>632</v>
      </c>
      <c r="L403" s="22" t="s">
        <v>632</v>
      </c>
      <c r="M403" s="22" t="s">
        <v>633</v>
      </c>
    </row>
    <row r="404" spans="1:13" s="2" customFormat="1" ht="21" x14ac:dyDescent="0.4">
      <c r="E404" s="3"/>
      <c r="F404" s="3"/>
      <c r="G404" s="22">
        <v>529045976</v>
      </c>
      <c r="H404" s="22">
        <v>529049728</v>
      </c>
      <c r="I404" s="22">
        <v>3753</v>
      </c>
      <c r="J404" s="22" t="s">
        <v>138</v>
      </c>
      <c r="K404" s="22" t="s">
        <v>634</v>
      </c>
      <c r="L404" s="22" t="s">
        <v>634</v>
      </c>
      <c r="M404" s="22" t="s">
        <v>635</v>
      </c>
    </row>
    <row r="405" spans="1:13" s="2" customFormat="1" ht="21" x14ac:dyDescent="0.4">
      <c r="E405" s="3"/>
      <c r="F405" s="3"/>
      <c r="G405" s="22">
        <v>529049884</v>
      </c>
      <c r="H405" s="22">
        <v>529051120</v>
      </c>
      <c r="I405" s="22">
        <v>1237</v>
      </c>
      <c r="J405" s="22" t="s">
        <v>131</v>
      </c>
      <c r="K405" s="22" t="s">
        <v>636</v>
      </c>
      <c r="L405" s="22" t="s">
        <v>636</v>
      </c>
      <c r="M405" s="22" t="s">
        <v>637</v>
      </c>
    </row>
    <row r="406" spans="1:13" s="2" customFormat="1" ht="21" x14ac:dyDescent="0.4">
      <c r="E406" s="3"/>
      <c r="F406" s="3"/>
      <c r="G406" s="22">
        <v>529053664</v>
      </c>
      <c r="H406" s="22">
        <v>529062925</v>
      </c>
      <c r="I406" s="22">
        <v>9262</v>
      </c>
      <c r="J406" s="22" t="s">
        <v>138</v>
      </c>
      <c r="K406" s="22" t="s">
        <v>638</v>
      </c>
      <c r="L406" s="22" t="s">
        <v>638</v>
      </c>
      <c r="M406" s="22" t="s">
        <v>639</v>
      </c>
    </row>
    <row r="407" spans="1:13" s="2" customFormat="1" ht="21" x14ac:dyDescent="0.4">
      <c r="E407" s="3"/>
      <c r="F407" s="3"/>
      <c r="G407" s="22">
        <v>529063251</v>
      </c>
      <c r="H407" s="22">
        <v>529063590</v>
      </c>
      <c r="I407" s="22">
        <v>340</v>
      </c>
      <c r="J407" s="22" t="s">
        <v>138</v>
      </c>
      <c r="K407" s="22" t="s">
        <v>640</v>
      </c>
      <c r="L407" s="22" t="s">
        <v>640</v>
      </c>
      <c r="M407" s="22" t="s">
        <v>150</v>
      </c>
    </row>
    <row r="410" spans="1:13" ht="21" x14ac:dyDescent="0.4">
      <c r="A410" s="2" t="s">
        <v>641</v>
      </c>
    </row>
    <row r="411" spans="1:13" ht="21" x14ac:dyDescent="0.4">
      <c r="A411" s="2" t="s">
        <v>644</v>
      </c>
    </row>
  </sheetData>
  <mergeCells count="290">
    <mergeCell ref="A373:XFD373"/>
    <mergeCell ref="B370:B371"/>
    <mergeCell ref="C370:C371"/>
    <mergeCell ref="D370:D371"/>
    <mergeCell ref="E370:E371"/>
    <mergeCell ref="F370:F371"/>
    <mergeCell ref="B366:B369"/>
    <mergeCell ref="C366:C369"/>
    <mergeCell ref="D366:D369"/>
    <mergeCell ref="E366:E369"/>
    <mergeCell ref="F366:F369"/>
    <mergeCell ref="B358:B363"/>
    <mergeCell ref="C358:C363"/>
    <mergeCell ref="D358:D363"/>
    <mergeCell ref="E358:E363"/>
    <mergeCell ref="F358:F363"/>
    <mergeCell ref="B354:B356"/>
    <mergeCell ref="C354:C356"/>
    <mergeCell ref="D354:D356"/>
    <mergeCell ref="E354:E356"/>
    <mergeCell ref="F354:F356"/>
    <mergeCell ref="B351:B353"/>
    <mergeCell ref="C351:C353"/>
    <mergeCell ref="D351:D353"/>
    <mergeCell ref="E351:E353"/>
    <mergeCell ref="F351:F353"/>
    <mergeCell ref="A347:XFD347"/>
    <mergeCell ref="B348:B350"/>
    <mergeCell ref="C348:C350"/>
    <mergeCell ref="D348:D350"/>
    <mergeCell ref="E348:E350"/>
    <mergeCell ref="F348:F350"/>
    <mergeCell ref="A341:XFD341"/>
    <mergeCell ref="B344:B346"/>
    <mergeCell ref="C344:C346"/>
    <mergeCell ref="D344:D346"/>
    <mergeCell ref="E344:E346"/>
    <mergeCell ref="F344:F346"/>
    <mergeCell ref="B332:B340"/>
    <mergeCell ref="C332:C340"/>
    <mergeCell ref="D332:D340"/>
    <mergeCell ref="E332:E340"/>
    <mergeCell ref="F332:F340"/>
    <mergeCell ref="B327:B331"/>
    <mergeCell ref="C327:C331"/>
    <mergeCell ref="D327:D331"/>
    <mergeCell ref="E327:E331"/>
    <mergeCell ref="F327:F331"/>
    <mergeCell ref="B310:B325"/>
    <mergeCell ref="C310:C325"/>
    <mergeCell ref="D310:D325"/>
    <mergeCell ref="E310:E325"/>
    <mergeCell ref="F310:F325"/>
    <mergeCell ref="A303:XFD303"/>
    <mergeCell ref="B304:B305"/>
    <mergeCell ref="C304:C305"/>
    <mergeCell ref="B306:B308"/>
    <mergeCell ref="C306:C308"/>
    <mergeCell ref="D306:D308"/>
    <mergeCell ref="E306:E308"/>
    <mergeCell ref="F306:F308"/>
    <mergeCell ref="B301:B302"/>
    <mergeCell ref="C301:C302"/>
    <mergeCell ref="D301:D302"/>
    <mergeCell ref="E301:E302"/>
    <mergeCell ref="F301:F302"/>
    <mergeCell ref="B294:B300"/>
    <mergeCell ref="C294:C300"/>
    <mergeCell ref="D294:D300"/>
    <mergeCell ref="E294:E300"/>
    <mergeCell ref="F294:F300"/>
    <mergeCell ref="B290:B292"/>
    <mergeCell ref="C290:C292"/>
    <mergeCell ref="D290:D292"/>
    <mergeCell ref="E290:E292"/>
    <mergeCell ref="F290:F292"/>
    <mergeCell ref="A2:XFD2"/>
    <mergeCell ref="A280:XFD280"/>
    <mergeCell ref="A281:XFD281"/>
    <mergeCell ref="B282:B289"/>
    <mergeCell ref="C282:C289"/>
    <mergeCell ref="D282:D289"/>
    <mergeCell ref="E282:E289"/>
    <mergeCell ref="F282:F289"/>
    <mergeCell ref="F272:F274"/>
    <mergeCell ref="D272:D274"/>
    <mergeCell ref="E272:E274"/>
    <mergeCell ref="A275:XFD275"/>
    <mergeCell ref="A276:XFD276"/>
    <mergeCell ref="B202:B205"/>
    <mergeCell ref="A266:XFD266"/>
    <mergeCell ref="A267:XFD267"/>
    <mergeCell ref="A269:XFD269"/>
    <mergeCell ref="D197:D201"/>
    <mergeCell ref="E197:E201"/>
    <mergeCell ref="F197:F201"/>
    <mergeCell ref="D118:D121"/>
    <mergeCell ref="E118:E121"/>
    <mergeCell ref="F118:F121"/>
    <mergeCell ref="D123:D124"/>
    <mergeCell ref="D142:D147"/>
    <mergeCell ref="E142:E147"/>
    <mergeCell ref="F142:F147"/>
    <mergeCell ref="D138:D141"/>
    <mergeCell ref="E138:E141"/>
    <mergeCell ref="F138:F141"/>
    <mergeCell ref="D207:D216"/>
    <mergeCell ref="F207:F216"/>
    <mergeCell ref="E207:E216"/>
    <mergeCell ref="D202:D205"/>
    <mergeCell ref="E202:E205"/>
    <mergeCell ref="F202:F205"/>
    <mergeCell ref="D190:D191"/>
    <mergeCell ref="E190:E191"/>
    <mergeCell ref="F190:F191"/>
    <mergeCell ref="F192:F194"/>
    <mergeCell ref="D170:D175"/>
    <mergeCell ref="E170:E175"/>
    <mergeCell ref="F170:F175"/>
    <mergeCell ref="D180:D187"/>
    <mergeCell ref="E180:E187"/>
    <mergeCell ref="F180:F187"/>
    <mergeCell ref="D258:D259"/>
    <mergeCell ref="E258:E259"/>
    <mergeCell ref="F258:F259"/>
    <mergeCell ref="D261:D263"/>
    <mergeCell ref="E261:E263"/>
    <mergeCell ref="F261:F263"/>
    <mergeCell ref="C192:C194"/>
    <mergeCell ref="D254:D256"/>
    <mergeCell ref="E254:E256"/>
    <mergeCell ref="F254:F256"/>
    <mergeCell ref="D250:D253"/>
    <mergeCell ref="E250:E253"/>
    <mergeCell ref="F250:F253"/>
    <mergeCell ref="D236:D237"/>
    <mergeCell ref="E236:E237"/>
    <mergeCell ref="F236:F237"/>
    <mergeCell ref="D232:D235"/>
    <mergeCell ref="E232:E235"/>
    <mergeCell ref="F232:F235"/>
    <mergeCell ref="D218:D229"/>
    <mergeCell ref="E218:E229"/>
    <mergeCell ref="F218:F229"/>
    <mergeCell ref="D192:D194"/>
    <mergeCell ref="E192:E194"/>
    <mergeCell ref="D160:D166"/>
    <mergeCell ref="E160:E166"/>
    <mergeCell ref="F160:F166"/>
    <mergeCell ref="D168:D169"/>
    <mergeCell ref="E168:E169"/>
    <mergeCell ref="F168:F169"/>
    <mergeCell ref="D149:D154"/>
    <mergeCell ref="E149:E154"/>
    <mergeCell ref="F149:F154"/>
    <mergeCell ref="D156:D157"/>
    <mergeCell ref="E156:E157"/>
    <mergeCell ref="F156:F157"/>
    <mergeCell ref="F125:F137"/>
    <mergeCell ref="C109:C117"/>
    <mergeCell ref="D109:D117"/>
    <mergeCell ref="E109:E117"/>
    <mergeCell ref="F109:F117"/>
    <mergeCell ref="C69:C70"/>
    <mergeCell ref="D69:D70"/>
    <mergeCell ref="E69:E70"/>
    <mergeCell ref="F69:F70"/>
    <mergeCell ref="C78:C93"/>
    <mergeCell ref="E123:E124"/>
    <mergeCell ref="F123:F124"/>
    <mergeCell ref="E7:E15"/>
    <mergeCell ref="F7:F15"/>
    <mergeCell ref="D7:D15"/>
    <mergeCell ref="C31:C32"/>
    <mergeCell ref="D31:D32"/>
    <mergeCell ref="E31:E32"/>
    <mergeCell ref="F31:F32"/>
    <mergeCell ref="D56:D62"/>
    <mergeCell ref="F56:F62"/>
    <mergeCell ref="E56:E62"/>
    <mergeCell ref="D20:D23"/>
    <mergeCell ref="E20:E23"/>
    <mergeCell ref="F20:F23"/>
    <mergeCell ref="D24:D27"/>
    <mergeCell ref="E24:E27"/>
    <mergeCell ref="F24:F27"/>
    <mergeCell ref="D34:D36"/>
    <mergeCell ref="E34:E36"/>
    <mergeCell ref="F34:F36"/>
    <mergeCell ref="D38:D43"/>
    <mergeCell ref="E38:E43"/>
    <mergeCell ref="F38:F43"/>
    <mergeCell ref="D44:D50"/>
    <mergeCell ref="E44:E50"/>
    <mergeCell ref="C123:C124"/>
    <mergeCell ref="C160:C166"/>
    <mergeCell ref="B118:B121"/>
    <mergeCell ref="C118:C121"/>
    <mergeCell ref="A94:XFD94"/>
    <mergeCell ref="A188:XFD188"/>
    <mergeCell ref="D16:D17"/>
    <mergeCell ref="E16:E17"/>
    <mergeCell ref="F16:F17"/>
    <mergeCell ref="D18:D19"/>
    <mergeCell ref="E18:E19"/>
    <mergeCell ref="F18:F19"/>
    <mergeCell ref="D63:D67"/>
    <mergeCell ref="E63:E67"/>
    <mergeCell ref="F63:F67"/>
    <mergeCell ref="D78:D93"/>
    <mergeCell ref="E78:E93"/>
    <mergeCell ref="F78:F93"/>
    <mergeCell ref="D72:D77"/>
    <mergeCell ref="E72:E77"/>
    <mergeCell ref="F72:F77"/>
    <mergeCell ref="F44:F50"/>
    <mergeCell ref="D125:D137"/>
    <mergeCell ref="E125:E137"/>
    <mergeCell ref="B261:B263"/>
    <mergeCell ref="C261:C263"/>
    <mergeCell ref="B258:B259"/>
    <mergeCell ref="C258:C259"/>
    <mergeCell ref="B138:B141"/>
    <mergeCell ref="C138:C141"/>
    <mergeCell ref="B16:B17"/>
    <mergeCell ref="C16:C17"/>
    <mergeCell ref="B18:B19"/>
    <mergeCell ref="C18:C19"/>
    <mergeCell ref="B38:B43"/>
    <mergeCell ref="C38:C43"/>
    <mergeCell ref="C63:C67"/>
    <mergeCell ref="B63:B67"/>
    <mergeCell ref="B44:B50"/>
    <mergeCell ref="C44:C50"/>
    <mergeCell ref="B56:B62"/>
    <mergeCell ref="C56:C62"/>
    <mergeCell ref="B34:B36"/>
    <mergeCell ref="C34:C36"/>
    <mergeCell ref="B78:B93"/>
    <mergeCell ref="B156:B157"/>
    <mergeCell ref="C156:C157"/>
    <mergeCell ref="B190:B191"/>
    <mergeCell ref="C264:C265"/>
    <mergeCell ref="B264:B265"/>
    <mergeCell ref="B149:B154"/>
    <mergeCell ref="C149:C154"/>
    <mergeCell ref="B125:B137"/>
    <mergeCell ref="C125:C137"/>
    <mergeCell ref="B142:B147"/>
    <mergeCell ref="C142:C147"/>
    <mergeCell ref="B254:B256"/>
    <mergeCell ref="C254:C256"/>
    <mergeCell ref="C170:C175"/>
    <mergeCell ref="B170:B175"/>
    <mergeCell ref="B207:B216"/>
    <mergeCell ref="B236:B237"/>
    <mergeCell ref="C236:C237"/>
    <mergeCell ref="B160:B166"/>
    <mergeCell ref="B250:B253"/>
    <mergeCell ref="C250:C253"/>
    <mergeCell ref="C197:C201"/>
    <mergeCell ref="B197:B201"/>
    <mergeCell ref="C202:C205"/>
    <mergeCell ref="B218:B229"/>
    <mergeCell ref="C218:C229"/>
    <mergeCell ref="C207:C216"/>
    <mergeCell ref="A244:XFD244"/>
    <mergeCell ref="A3:XFD3"/>
    <mergeCell ref="B107:B108"/>
    <mergeCell ref="C107:C108"/>
    <mergeCell ref="B168:B169"/>
    <mergeCell ref="C168:C169"/>
    <mergeCell ref="B109:B117"/>
    <mergeCell ref="B31:B32"/>
    <mergeCell ref="B69:B70"/>
    <mergeCell ref="B192:B194"/>
    <mergeCell ref="C232:C235"/>
    <mergeCell ref="B232:B235"/>
    <mergeCell ref="B20:B23"/>
    <mergeCell ref="C20:C23"/>
    <mergeCell ref="B24:B27"/>
    <mergeCell ref="C24:C27"/>
    <mergeCell ref="B7:B15"/>
    <mergeCell ref="C7:C15"/>
    <mergeCell ref="B72:B77"/>
    <mergeCell ref="C72:C77"/>
    <mergeCell ref="C190:C191"/>
    <mergeCell ref="B180:B187"/>
    <mergeCell ref="C180:C187"/>
    <mergeCell ref="B123:B124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Salaria</dc:creator>
  <cp:lastModifiedBy>Sonia Salaria</cp:lastModifiedBy>
  <dcterms:created xsi:type="dcterms:W3CDTF">2026-09-03T00:02:51Z</dcterms:created>
  <dcterms:modified xsi:type="dcterms:W3CDTF">2026-09-06T14:48:29Z</dcterms:modified>
</cp:coreProperties>
</file>